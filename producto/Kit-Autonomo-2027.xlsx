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onfig" sheetId="2" state="visible" r:id="rId2"/>
    <sheet xmlns:r="http://schemas.openxmlformats.org/officeDocument/2006/relationships" name="Ingresos" sheetId="3" state="visible" r:id="rId3"/>
    <sheet xmlns:r="http://schemas.openxmlformats.org/officeDocument/2006/relationships" name="Gastos" sheetId="4" state="visible" r:id="rId4"/>
    <sheet xmlns:r="http://schemas.openxmlformats.org/officeDocument/2006/relationships" name="Trimestres" sheetId="5" state="visible" r:id="rId5"/>
    <sheet xmlns:r="http://schemas.openxmlformats.org/officeDocument/2006/relationships" name="Resumen" sheetId="6" state="visible" r:id="rId6"/>
    <sheet xmlns:r="http://schemas.openxmlformats.org/officeDocument/2006/relationships" name="Factura" sheetId="7" state="visible" r:id="rId7"/>
  </sheets>
  <definedNames>
    <definedName name="_xlnm.Print_Area" localSheetId="6">'Factura'!$A$1:$E$24</definedName>
  </definedNames>
  <calcPr calcId="124519" fullCalcOnLoad="1"/>
</workbook>
</file>

<file path=xl/styles.xml><?xml version="1.0" encoding="utf-8"?>
<styleSheet xmlns="http://schemas.openxmlformats.org/spreadsheetml/2006/main">
  <numFmts count="2">
    <numFmt numFmtId="164" formatCode="DD/MM/YYYY"/>
    <numFmt numFmtId="165" formatCode="#,##0.00 &quot;€&quot;;[Red]-#,##0.00 &quot;€&quot;"/>
  </numFmts>
  <fonts count="12">
    <font>
      <name val="Calibri"/>
      <family val="2"/>
      <color theme="1"/>
      <sz val="11"/>
      <scheme val="minor"/>
    </font>
    <font>
      <b val="1"/>
      <color rgb="001F3A5F"/>
      <sz val="16"/>
    </font>
    <font>
      <b val="1"/>
      <sz val="12"/>
    </font>
    <font>
      <b val="1"/>
    </font>
    <font>
      <b val="1"/>
      <color rgb="001F3A5F"/>
      <sz val="12"/>
    </font>
    <font>
      <b val="1"/>
      <color rgb="00FFFFFF"/>
    </font>
    <font>
      <b val="1"/>
      <color rgb="00C62828"/>
      <sz val="12"/>
    </font>
    <font>
      <b val="1"/>
      <color rgb="002E7D32"/>
    </font>
    <font>
      <b val="1"/>
      <color rgb="001F3A5F"/>
      <sz val="24"/>
    </font>
    <font>
      <b val="1"/>
      <color rgb="001F3A5F"/>
    </font>
    <font>
      <b val="1"/>
      <sz val="13"/>
    </font>
    <font>
      <i val="1"/>
      <color rgb="007F7F7F"/>
    </font>
  </fonts>
  <fills count="5">
    <fill>
      <patternFill/>
    </fill>
    <fill>
      <patternFill patternType="gray125"/>
    </fill>
    <fill>
      <patternFill patternType="solid">
        <fgColor rgb="00FFF8E1"/>
      </patternFill>
    </fill>
    <fill>
      <patternFill patternType="solid">
        <fgColor rgb="001F3A5F"/>
      </patternFill>
    </fill>
    <fill>
      <patternFill patternType="solid">
        <fgColor rgb="00F2F2F2"/>
      </patternFill>
    </fill>
  </fills>
  <borders count="2">
    <border>
      <left/>
      <right/>
      <top/>
      <bottom/>
      <diagonal/>
    </border>
    <border>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applyAlignment="1" pivotButton="0" quotePrefix="0" xfId="0">
      <alignment wrapText="1"/>
    </xf>
    <xf numFmtId="0" fontId="0" fillId="0" borderId="0" applyAlignment="1" pivotButton="0" quotePrefix="0" xfId="0">
      <alignment wrapText="1"/>
    </xf>
    <xf numFmtId="0" fontId="3" fillId="0" borderId="0" pivotButton="0" quotePrefix="0" xfId="0"/>
    <xf numFmtId="0" fontId="0" fillId="2" borderId="0" pivotButton="0" quotePrefix="0" xfId="0"/>
    <xf numFmtId="9" fontId="0" fillId="2" borderId="0" pivotButton="0" quotePrefix="0" xfId="0"/>
    <xf numFmtId="0" fontId="4" fillId="0" borderId="0" pivotButton="0" quotePrefix="0" xfId="0"/>
    <xf numFmtId="0" fontId="5" fillId="3" borderId="0" applyAlignment="1" pivotButton="0" quotePrefix="0" xfId="0">
      <alignment horizontal="center" vertical="center" wrapText="1"/>
    </xf>
    <xf numFmtId="164" fontId="0" fillId="2" borderId="0" pivotButton="0" quotePrefix="0" xfId="0"/>
    <xf numFmtId="165" fontId="0" fillId="2" borderId="0" pivotButton="0" quotePrefix="0" xfId="0"/>
    <xf numFmtId="165" fontId="0" fillId="4" borderId="0" pivotButton="0" quotePrefix="0" xfId="0"/>
    <xf numFmtId="0" fontId="0" fillId="4" borderId="0" pivotButton="0" quotePrefix="0" xfId="0"/>
    <xf numFmtId="0" fontId="5" fillId="3" borderId="0" applyAlignment="1" pivotButton="0" quotePrefix="0" xfId="0">
      <alignment horizontal="center"/>
    </xf>
    <xf numFmtId="165" fontId="0" fillId="0" borderId="1" pivotButton="0" quotePrefix="0" xfId="0"/>
    <xf numFmtId="165" fontId="3" fillId="0" borderId="0" pivotButton="0" quotePrefix="0" xfId="0"/>
    <xf numFmtId="165" fontId="6" fillId="0" borderId="1" pivotButton="0" quotePrefix="0" xfId="0"/>
    <xf numFmtId="165" fontId="6" fillId="0" borderId="0" pivotButton="0" quotePrefix="0" xfId="0"/>
    <xf numFmtId="165" fontId="7" fillId="0" borderId="1" pivotButton="0" quotePrefix="0" xfId="0"/>
    <xf numFmtId="165" fontId="7" fillId="0" borderId="0" pivotButton="0" quotePrefix="0" xfId="0"/>
    <xf numFmtId="0" fontId="5" fillId="3" borderId="0" pivotButton="0" quotePrefix="0" xfId="0"/>
    <xf numFmtId="165" fontId="0" fillId="0" borderId="0" pivotButton="0" quotePrefix="0" xfId="0"/>
    <xf numFmtId="9" fontId="0" fillId="0" borderId="0" pivotButton="0" quotePrefix="0" xfId="0"/>
    <xf numFmtId="0" fontId="8" fillId="0" borderId="0" pivotButton="0" quotePrefix="0" xfId="0"/>
    <xf numFmtId="0" fontId="0" fillId="0" borderId="0" applyAlignment="1" pivotButton="0" quotePrefix="0" xfId="0">
      <alignment horizontal="right"/>
    </xf>
    <xf numFmtId="0" fontId="2" fillId="2" borderId="0" pivotButton="0" quotePrefix="0" xfId="0"/>
    <xf numFmtId="164" fontId="0" fillId="0" borderId="0" pivotButton="0" quotePrefix="0" xfId="0"/>
    <xf numFmtId="0" fontId="9" fillId="0" borderId="0" pivotButton="0" quotePrefix="0" xfId="0"/>
    <xf numFmtId="0" fontId="0" fillId="0" borderId="1" pivotButton="0" quotePrefix="0" xfId="0"/>
    <xf numFmtId="0" fontId="10" fillId="0" borderId="0" pivotButton="0" quotePrefix="0" xfId="0"/>
    <xf numFmtId="165" fontId="10" fillId="0" borderId="0" pivotButton="0" quotePrefix="0" xfId="0"/>
    <xf numFmtId="0" fontId="11" fillId="0" borderId="0" pivotButton="0" quotePrefix="0" xfId="0"/>
  </cellXfs>
  <cellStyles count="1">
    <cellStyle name="Normal" xfId="0" builtinId="0" hidden="0"/>
  </cellStyles>
  <dxfs count="1">
    <dxf>
      <fill>
        <patternFill patternType="solid">
          <fgColor rgb="00FFCDD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Ingresos vs gastos por mes</a:t>
            </a:r>
          </a:p>
        </rich>
      </tx>
    </title>
    <plotArea>
      <barChart>
        <barDir val="col"/>
        <grouping val="clustered"/>
        <ser>
          <idx val="0"/>
          <order val="0"/>
          <tx>
            <strRef>
              <f>'Resumen'!B3</f>
            </strRef>
          </tx>
          <spPr>
            <a:ln xmlns:a="http://schemas.openxmlformats.org/drawingml/2006/main">
              <a:prstDash val="solid"/>
            </a:ln>
          </spPr>
          <cat>
            <numRef>
              <f>'Resumen'!$A$4:$A$15</f>
            </numRef>
          </cat>
          <val>
            <numRef>
              <f>'Resumen'!$B$4:$B$15</f>
            </numRef>
          </val>
        </ser>
        <ser>
          <idx val="1"/>
          <order val="1"/>
          <tx>
            <strRef>
              <f>'Resumen'!C3</f>
            </strRef>
          </tx>
          <spPr>
            <a:ln xmlns:a="http://schemas.openxmlformats.org/drawingml/2006/main">
              <a:prstDash val="solid"/>
            </a:ln>
          </spPr>
          <cat>
            <numRef>
              <f>'Resumen'!$A$4:$A$15</f>
            </numRef>
          </cat>
          <val>
            <numRef>
              <f>'Resumen'!$C$4:$C$15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6</col>
      <colOff>0</colOff>
      <row>2</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B19"/>
  <sheetViews>
    <sheetView showGridLines="0" workbookViewId="0">
      <selection activeCell="A1" sqref="A1"/>
    </sheetView>
  </sheetViews>
  <sheetFormatPr baseColWidth="8" defaultRowHeight="15"/>
  <cols>
    <col width="3" customWidth="1" min="1" max="1"/>
    <col width="100" customWidth="1" min="2" max="2"/>
  </cols>
  <sheetData>
    <row r="2">
      <c r="B2" s="1" t="inlineStr">
        <is>
          <t>Kit Autónomo 2027 — Facturas, gastos e impuestos en una sola hoja</t>
        </is>
      </c>
    </row>
    <row r="4">
      <c r="B4" s="2" t="inlineStr">
        <is>
          <t>CÓMO USARLO (5 minutos):</t>
        </is>
      </c>
    </row>
    <row r="5">
      <c r="B5" s="3" t="inlineStr">
        <is>
          <t>1. Ve a la hoja «Config» y rellena tus datos, el año y tu % de retención de IRPF (15% general, 7% los 3 primeros años).</t>
        </is>
      </c>
    </row>
    <row r="6">
      <c r="B6" s="3" t="inlineStr">
        <is>
          <t>2. Cada vez que emitas una factura, añade una fila en «Ingresos». Solo rellenas las celdas amarillas; el resto se calcula solo.</t>
        </is>
      </c>
    </row>
    <row r="7">
      <c r="B7" s="3" t="inlineStr">
        <is>
          <t>3. Cada vez que pagues un gasto de la actividad, añade una fila en «Gastos» con su categoría y el % deducible.</t>
        </is>
      </c>
    </row>
    <row r="8">
      <c r="B8" s="3" t="inlineStr">
        <is>
          <t>4. En «Trimestres» tienes calculado el resultado orientativo del Modelo 303 (IVA) y del Modelo 130 (IRPF) de cada trimestre.</t>
        </is>
      </c>
    </row>
    <row r="9">
      <c r="B9" s="3" t="inlineStr">
        <is>
          <t>5. En «Resumen» ves ingresos, gastos y beneficio mes a mes, con gráfico.</t>
        </is>
      </c>
    </row>
    <row r="10">
      <c r="B10" s="3" t="inlineStr">
        <is>
          <t>6. En «Factura» escribe el nº de factura y se genera la factura lista para exportar a PDF (Archivo &gt; Exportar &gt; PDF).</t>
        </is>
      </c>
    </row>
    <row r="11">
      <c r="B11" s="3" t="inlineStr"/>
    </row>
    <row r="12">
      <c r="B12" s="3" t="inlineStr">
        <is>
          <t>LEYENDA: celdas amarillas = las rellenas tú · celdas grises = fórmulas (no tocar).</t>
        </is>
      </c>
    </row>
    <row r="13">
      <c r="B13" s="3" t="inlineStr"/>
    </row>
    <row r="14">
      <c r="B14" s="3" t="inlineStr">
        <is>
          <t>PLAZOS AEAT (303 y 130): T1 hasta el 20 de abril · T2 hasta el 20 de julio · T3 hasta el 20 de octubre · T4 hasta el 30 de enero.</t>
        </is>
      </c>
    </row>
    <row r="15">
      <c r="B15" s="3" t="inlineStr"/>
    </row>
    <row r="16">
      <c r="B16" s="3" t="inlineStr">
        <is>
          <t>AVISO: este kit es una herramienta de organización y cálculo orientativo. No sustituye el asesoramiento de un gestor</t>
        </is>
      </c>
    </row>
    <row r="17">
      <c r="B17" s="3" t="inlineStr">
        <is>
          <t>o asesor fiscal. Casos especiales (recargo de equivalencia, módulos, operaciones intracomunitarias, prorrata) no están cubiertos.</t>
        </is>
      </c>
    </row>
    <row r="18">
      <c r="B18" s="3" t="inlineStr"/>
    </row>
    <row r="19">
      <c r="B19" s="3" t="inlineStr">
        <is>
          <t>Funciona en Microsoft Excel, Google Sheets (Archivo &gt; Importar) y LibreOffice Calc.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34" customWidth="1" min="1" max="1"/>
    <col width="40" customWidth="1" min="2" max="2"/>
  </cols>
  <sheetData>
    <row r="1">
      <c r="A1" s="1" t="inlineStr">
        <is>
          <t>Configuración</t>
        </is>
      </c>
    </row>
    <row r="3">
      <c r="A3" s="4" t="inlineStr">
        <is>
          <t>Nombre / Razón social</t>
        </is>
      </c>
      <c r="B3" s="5" t="inlineStr">
        <is>
          <t>Tu Nombre Apellido</t>
        </is>
      </c>
    </row>
    <row r="4">
      <c r="A4" s="4" t="inlineStr">
        <is>
          <t>NIF</t>
        </is>
      </c>
      <c r="B4" s="5" t="inlineStr">
        <is>
          <t>00000000T</t>
        </is>
      </c>
    </row>
    <row r="5">
      <c r="A5" s="4" t="inlineStr">
        <is>
          <t>Dirección</t>
        </is>
      </c>
      <c r="B5" s="5" t="inlineStr">
        <is>
          <t>Calle Ejemplo 1, 28001 Madrid</t>
        </is>
      </c>
    </row>
    <row r="6">
      <c r="A6" s="4" t="inlineStr">
        <is>
          <t>Email</t>
        </is>
      </c>
      <c r="B6" s="5" t="inlineStr">
        <is>
          <t>tu@email.com</t>
        </is>
      </c>
    </row>
    <row r="7">
      <c r="A7" s="4" t="inlineStr">
        <is>
          <t>IBAN (para facturas)</t>
        </is>
      </c>
      <c r="B7" s="5" t="inlineStr">
        <is>
          <t>ES00 0000 0000 0000 0000 0000</t>
        </is>
      </c>
    </row>
    <row r="8">
      <c r="A8" s="4" t="inlineStr">
        <is>
          <t>Año fiscal</t>
        </is>
      </c>
      <c r="B8" s="5" t="n">
        <v>2027</v>
      </c>
    </row>
    <row r="9">
      <c r="A9" s="4" t="inlineStr">
        <is>
          <t>% IVA por defecto</t>
        </is>
      </c>
      <c r="B9" s="6" t="n">
        <v>0.21</v>
      </c>
    </row>
    <row r="10">
      <c r="A10" s="4" t="inlineStr">
        <is>
          <t>% retención IRPF en facturas</t>
        </is>
      </c>
      <c r="B10" s="6" t="n">
        <v>0.15</v>
      </c>
    </row>
    <row r="11">
      <c r="A11" s="4" t="inlineStr">
        <is>
          <t>% pago fraccionado Modelo 130</t>
        </is>
      </c>
      <c r="B11" s="6" t="n">
        <v>0.2</v>
      </c>
    </row>
    <row r="14">
      <c r="A14" s="7" t="inlineStr">
        <is>
          <t>Categorías de gasto</t>
        </is>
      </c>
    </row>
    <row r="15">
      <c r="A15" s="5" t="inlineStr">
        <is>
          <t>Software y suscripciones</t>
        </is>
      </c>
    </row>
    <row r="16">
      <c r="A16" s="5" t="inlineStr">
        <is>
          <t>Material de oficina</t>
        </is>
      </c>
    </row>
    <row r="17">
      <c r="A17" s="5" t="inlineStr">
        <is>
          <t>Equipos informáticos</t>
        </is>
      </c>
    </row>
    <row r="18">
      <c r="A18" s="5" t="inlineStr">
        <is>
          <t>Suministros (luz, internet, móvil)</t>
        </is>
      </c>
    </row>
    <row r="19">
      <c r="A19" s="5" t="inlineStr">
        <is>
          <t>Cuota de autónomo (RETA)</t>
        </is>
      </c>
    </row>
    <row r="20">
      <c r="A20" s="5" t="inlineStr">
        <is>
          <t>Gestoría / asesoría</t>
        </is>
      </c>
    </row>
    <row r="21">
      <c r="A21" s="5" t="inlineStr">
        <is>
          <t>Publicidad y marketing</t>
        </is>
      </c>
    </row>
    <row r="22">
      <c r="A22" s="5" t="inlineStr">
        <is>
          <t>Formación</t>
        </is>
      </c>
    </row>
    <row r="23">
      <c r="A23" s="5" t="inlineStr">
        <is>
          <t>Desplazamientos y dietas</t>
        </is>
      </c>
    </row>
    <row r="24">
      <c r="A24" s="5" t="inlineStr">
        <is>
          <t>Alquiler local / coworking</t>
        </is>
      </c>
    </row>
    <row r="25">
      <c r="A25" s="5" t="inlineStr">
        <is>
          <t>Comisiones bancarias</t>
        </is>
      </c>
    </row>
    <row r="26">
      <c r="A26" s="5" t="inlineStr">
        <is>
          <t>Seguros</t>
        </is>
      </c>
    </row>
    <row r="27">
      <c r="A27" s="5" t="inlineStr">
        <is>
          <t>Otros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6" customWidth="1" min="3" max="3"/>
    <col width="14" customWidth="1" min="4" max="4"/>
    <col width="34" customWidth="1" min="5" max="5"/>
    <col width="15" customWidth="1" min="6" max="6"/>
    <col width="8" customWidth="1" min="7" max="7"/>
    <col width="13" customWidth="1" min="8" max="8"/>
    <col width="8" customWidth="1" min="9" max="9"/>
    <col width="14" customWidth="1" min="10" max="10"/>
    <col width="15" customWidth="1" min="11" max="11"/>
    <col width="10" customWidth="1" min="12" max="12"/>
    <col width="7" customWidth="1" min="13" max="13"/>
    <col width="11" customWidth="1" min="14" max="14"/>
  </cols>
  <sheetData>
    <row r="1" ht="32" customHeight="1">
      <c r="A1" s="8" t="inlineStr">
        <is>
          <t>Fecha</t>
        </is>
      </c>
      <c r="B1" s="8" t="inlineStr">
        <is>
          <t>Nº factura</t>
        </is>
      </c>
      <c r="C1" s="8" t="inlineStr">
        <is>
          <t>Cliente</t>
        </is>
      </c>
      <c r="D1" s="8" t="inlineStr">
        <is>
          <t>NIF cliente</t>
        </is>
      </c>
      <c r="E1" s="8" t="inlineStr">
        <is>
          <t>Concepto</t>
        </is>
      </c>
      <c r="F1" s="8" t="inlineStr">
        <is>
          <t>Base imponible</t>
        </is>
      </c>
      <c r="G1" s="8" t="inlineStr">
        <is>
          <t>% IVA</t>
        </is>
      </c>
      <c r="H1" s="8" t="inlineStr">
        <is>
          <t>Cuota IVA</t>
        </is>
      </c>
      <c r="I1" s="8" t="inlineStr">
        <is>
          <t>% IRPF</t>
        </is>
      </c>
      <c r="J1" s="8" t="inlineStr">
        <is>
          <t>Retención IRPF</t>
        </is>
      </c>
      <c r="K1" s="8" t="inlineStr">
        <is>
          <t>Total a cobrar</t>
        </is>
      </c>
      <c r="L1" s="8" t="inlineStr">
        <is>
          <t>Trimestre</t>
        </is>
      </c>
      <c r="M1" s="8" t="inlineStr">
        <is>
          <t>Mes</t>
        </is>
      </c>
      <c r="N1" s="8" t="inlineStr">
        <is>
          <t>¿Cobrada?</t>
        </is>
      </c>
    </row>
    <row r="2">
      <c r="A2" s="9">
        <f>DATE(Config!$B$8,1,15)</f>
        <v/>
      </c>
      <c r="B2" s="5" t="inlineStr">
        <is>
          <t>2027-001</t>
        </is>
      </c>
      <c r="C2" s="5" t="inlineStr">
        <is>
          <t>Cliente Ejemplo S.L.</t>
        </is>
      </c>
      <c r="D2" s="5" t="inlineStr">
        <is>
          <t>B00000000</t>
        </is>
      </c>
      <c r="E2" s="5" t="inlineStr">
        <is>
          <t>Diseño web (ejemplo, bórrame)</t>
        </is>
      </c>
      <c r="F2" s="10" t="n">
        <v>1000</v>
      </c>
      <c r="G2" s="6">
        <f>IF(F2="","",Config!$B$9)</f>
        <v/>
      </c>
      <c r="H2" s="11">
        <f>IF(F2="","",ROUND(F2*G2,2))</f>
        <v/>
      </c>
      <c r="I2" s="6">
        <f>IF(F2="","",Config!$B$10)</f>
        <v/>
      </c>
      <c r="J2" s="11">
        <f>IF(F2="","",ROUND(F2*I2,2))</f>
        <v/>
      </c>
      <c r="K2" s="11">
        <f>IF(F2="","",F2+H2-J2)</f>
        <v/>
      </c>
      <c r="L2" s="12">
        <f>IF(A2="","",ROUNDUP(MONTH(A2)/3,0))</f>
        <v/>
      </c>
      <c r="M2" s="12">
        <f>IF(A2="","",MONTH(A2))</f>
        <v/>
      </c>
      <c r="N2" s="5" t="inlineStr">
        <is>
          <t>Sí</t>
        </is>
      </c>
    </row>
    <row r="3">
      <c r="A3" s="9" t="n"/>
      <c r="B3" s="5" t="n"/>
      <c r="C3" s="5" t="n"/>
      <c r="D3" s="5" t="n"/>
      <c r="E3" s="5" t="n"/>
      <c r="F3" s="10" t="n"/>
      <c r="G3" s="6">
        <f>IF(F3="","",Config!$B$9)</f>
        <v/>
      </c>
      <c r="H3" s="11">
        <f>IF(F3="","",ROUND(F3*G3,2))</f>
        <v/>
      </c>
      <c r="I3" s="6">
        <f>IF(F3="","",Config!$B$10)</f>
        <v/>
      </c>
      <c r="J3" s="11">
        <f>IF(F3="","",ROUND(F3*I3,2))</f>
        <v/>
      </c>
      <c r="K3" s="11">
        <f>IF(F3="","",F3+H3-J3)</f>
        <v/>
      </c>
      <c r="L3" s="12">
        <f>IF(A3="","",ROUNDUP(MONTH(A3)/3,0))</f>
        <v/>
      </c>
      <c r="M3" s="12">
        <f>IF(A3="","",MONTH(A3))</f>
        <v/>
      </c>
      <c r="N3" s="5" t="n"/>
    </row>
    <row r="4">
      <c r="A4" s="9" t="n"/>
      <c r="B4" s="5" t="n"/>
      <c r="C4" s="5" t="n"/>
      <c r="D4" s="5" t="n"/>
      <c r="E4" s="5" t="n"/>
      <c r="F4" s="10" t="n"/>
      <c r="G4" s="6">
        <f>IF(F4="","",Config!$B$9)</f>
        <v/>
      </c>
      <c r="H4" s="11">
        <f>IF(F4="","",ROUND(F4*G4,2))</f>
        <v/>
      </c>
      <c r="I4" s="6">
        <f>IF(F4="","",Config!$B$10)</f>
        <v/>
      </c>
      <c r="J4" s="11">
        <f>IF(F4="","",ROUND(F4*I4,2))</f>
        <v/>
      </c>
      <c r="K4" s="11">
        <f>IF(F4="","",F4+H4-J4)</f>
        <v/>
      </c>
      <c r="L4" s="12">
        <f>IF(A4="","",ROUNDUP(MONTH(A4)/3,0))</f>
        <v/>
      </c>
      <c r="M4" s="12">
        <f>IF(A4="","",MONTH(A4))</f>
        <v/>
      </c>
      <c r="N4" s="5" t="n"/>
    </row>
    <row r="5">
      <c r="A5" s="9" t="n"/>
      <c r="B5" s="5" t="n"/>
      <c r="C5" s="5" t="n"/>
      <c r="D5" s="5" t="n"/>
      <c r="E5" s="5" t="n"/>
      <c r="F5" s="10" t="n"/>
      <c r="G5" s="6">
        <f>IF(F5="","",Config!$B$9)</f>
        <v/>
      </c>
      <c r="H5" s="11">
        <f>IF(F5="","",ROUND(F5*G5,2))</f>
        <v/>
      </c>
      <c r="I5" s="6">
        <f>IF(F5="","",Config!$B$10)</f>
        <v/>
      </c>
      <c r="J5" s="11">
        <f>IF(F5="","",ROUND(F5*I5,2))</f>
        <v/>
      </c>
      <c r="K5" s="11">
        <f>IF(F5="","",F5+H5-J5)</f>
        <v/>
      </c>
      <c r="L5" s="12">
        <f>IF(A5="","",ROUNDUP(MONTH(A5)/3,0))</f>
        <v/>
      </c>
      <c r="M5" s="12">
        <f>IF(A5="","",MONTH(A5))</f>
        <v/>
      </c>
      <c r="N5" s="5" t="n"/>
    </row>
    <row r="6">
      <c r="A6" s="9" t="n"/>
      <c r="B6" s="5" t="n"/>
      <c r="C6" s="5" t="n"/>
      <c r="D6" s="5" t="n"/>
      <c r="E6" s="5" t="n"/>
      <c r="F6" s="10" t="n"/>
      <c r="G6" s="6">
        <f>IF(F6="","",Config!$B$9)</f>
        <v/>
      </c>
      <c r="H6" s="11">
        <f>IF(F6="","",ROUND(F6*G6,2))</f>
        <v/>
      </c>
      <c r="I6" s="6">
        <f>IF(F6="","",Config!$B$10)</f>
        <v/>
      </c>
      <c r="J6" s="11">
        <f>IF(F6="","",ROUND(F6*I6,2))</f>
        <v/>
      </c>
      <c r="K6" s="11">
        <f>IF(F6="","",F6+H6-J6)</f>
        <v/>
      </c>
      <c r="L6" s="12">
        <f>IF(A6="","",ROUNDUP(MONTH(A6)/3,0))</f>
        <v/>
      </c>
      <c r="M6" s="12">
        <f>IF(A6="","",MONTH(A6))</f>
        <v/>
      </c>
      <c r="N6" s="5" t="n"/>
    </row>
    <row r="7">
      <c r="A7" s="9" t="n"/>
      <c r="B7" s="5" t="n"/>
      <c r="C7" s="5" t="n"/>
      <c r="D7" s="5" t="n"/>
      <c r="E7" s="5" t="n"/>
      <c r="F7" s="10" t="n"/>
      <c r="G7" s="6">
        <f>IF(F7="","",Config!$B$9)</f>
        <v/>
      </c>
      <c r="H7" s="11">
        <f>IF(F7="","",ROUND(F7*G7,2))</f>
        <v/>
      </c>
      <c r="I7" s="6">
        <f>IF(F7="","",Config!$B$10)</f>
        <v/>
      </c>
      <c r="J7" s="11">
        <f>IF(F7="","",ROUND(F7*I7,2))</f>
        <v/>
      </c>
      <c r="K7" s="11">
        <f>IF(F7="","",F7+H7-J7)</f>
        <v/>
      </c>
      <c r="L7" s="12">
        <f>IF(A7="","",ROUNDUP(MONTH(A7)/3,0))</f>
        <v/>
      </c>
      <c r="M7" s="12">
        <f>IF(A7="","",MONTH(A7))</f>
        <v/>
      </c>
      <c r="N7" s="5" t="n"/>
    </row>
    <row r="8">
      <c r="A8" s="9" t="n"/>
      <c r="B8" s="5" t="n"/>
      <c r="C8" s="5" t="n"/>
      <c r="D8" s="5" t="n"/>
      <c r="E8" s="5" t="n"/>
      <c r="F8" s="10" t="n"/>
      <c r="G8" s="6">
        <f>IF(F8="","",Config!$B$9)</f>
        <v/>
      </c>
      <c r="H8" s="11">
        <f>IF(F8="","",ROUND(F8*G8,2))</f>
        <v/>
      </c>
      <c r="I8" s="6">
        <f>IF(F8="","",Config!$B$10)</f>
        <v/>
      </c>
      <c r="J8" s="11">
        <f>IF(F8="","",ROUND(F8*I8,2))</f>
        <v/>
      </c>
      <c r="K8" s="11">
        <f>IF(F8="","",F8+H8-J8)</f>
        <v/>
      </c>
      <c r="L8" s="12">
        <f>IF(A8="","",ROUNDUP(MONTH(A8)/3,0))</f>
        <v/>
      </c>
      <c r="M8" s="12">
        <f>IF(A8="","",MONTH(A8))</f>
        <v/>
      </c>
      <c r="N8" s="5" t="n"/>
    </row>
    <row r="9">
      <c r="A9" s="9" t="n"/>
      <c r="B9" s="5" t="n"/>
      <c r="C9" s="5" t="n"/>
      <c r="D9" s="5" t="n"/>
      <c r="E9" s="5" t="n"/>
      <c r="F9" s="10" t="n"/>
      <c r="G9" s="6">
        <f>IF(F9="","",Config!$B$9)</f>
        <v/>
      </c>
      <c r="H9" s="11">
        <f>IF(F9="","",ROUND(F9*G9,2))</f>
        <v/>
      </c>
      <c r="I9" s="6">
        <f>IF(F9="","",Config!$B$10)</f>
        <v/>
      </c>
      <c r="J9" s="11">
        <f>IF(F9="","",ROUND(F9*I9,2))</f>
        <v/>
      </c>
      <c r="K9" s="11">
        <f>IF(F9="","",F9+H9-J9)</f>
        <v/>
      </c>
      <c r="L9" s="12">
        <f>IF(A9="","",ROUNDUP(MONTH(A9)/3,0))</f>
        <v/>
      </c>
      <c r="M9" s="12">
        <f>IF(A9="","",MONTH(A9))</f>
        <v/>
      </c>
      <c r="N9" s="5" t="n"/>
    </row>
    <row r="10">
      <c r="A10" s="9" t="n"/>
      <c r="B10" s="5" t="n"/>
      <c r="C10" s="5" t="n"/>
      <c r="D10" s="5" t="n"/>
      <c r="E10" s="5" t="n"/>
      <c r="F10" s="10" t="n"/>
      <c r="G10" s="6">
        <f>IF(F10="","",Config!$B$9)</f>
        <v/>
      </c>
      <c r="H10" s="11">
        <f>IF(F10="","",ROUND(F10*G10,2))</f>
        <v/>
      </c>
      <c r="I10" s="6">
        <f>IF(F10="","",Config!$B$10)</f>
        <v/>
      </c>
      <c r="J10" s="11">
        <f>IF(F10="","",ROUND(F10*I10,2))</f>
        <v/>
      </c>
      <c r="K10" s="11">
        <f>IF(F10="","",F10+H10-J10)</f>
        <v/>
      </c>
      <c r="L10" s="12">
        <f>IF(A10="","",ROUNDUP(MONTH(A10)/3,0))</f>
        <v/>
      </c>
      <c r="M10" s="12">
        <f>IF(A10="","",MONTH(A10))</f>
        <v/>
      </c>
      <c r="N10" s="5" t="n"/>
    </row>
    <row r="11">
      <c r="A11" s="9" t="n"/>
      <c r="B11" s="5" t="n"/>
      <c r="C11" s="5" t="n"/>
      <c r="D11" s="5" t="n"/>
      <c r="E11" s="5" t="n"/>
      <c r="F11" s="10" t="n"/>
      <c r="G11" s="6">
        <f>IF(F11="","",Config!$B$9)</f>
        <v/>
      </c>
      <c r="H11" s="11">
        <f>IF(F11="","",ROUND(F11*G11,2))</f>
        <v/>
      </c>
      <c r="I11" s="6">
        <f>IF(F11="","",Config!$B$10)</f>
        <v/>
      </c>
      <c r="J11" s="11">
        <f>IF(F11="","",ROUND(F11*I11,2))</f>
        <v/>
      </c>
      <c r="K11" s="11">
        <f>IF(F11="","",F11+H11-J11)</f>
        <v/>
      </c>
      <c r="L11" s="12">
        <f>IF(A11="","",ROUNDUP(MONTH(A11)/3,0))</f>
        <v/>
      </c>
      <c r="M11" s="12">
        <f>IF(A11="","",MONTH(A11))</f>
        <v/>
      </c>
      <c r="N11" s="5" t="n"/>
    </row>
    <row r="12">
      <c r="A12" s="9" t="n"/>
      <c r="B12" s="5" t="n"/>
      <c r="C12" s="5" t="n"/>
      <c r="D12" s="5" t="n"/>
      <c r="E12" s="5" t="n"/>
      <c r="F12" s="10" t="n"/>
      <c r="G12" s="6">
        <f>IF(F12="","",Config!$B$9)</f>
        <v/>
      </c>
      <c r="H12" s="11">
        <f>IF(F12="","",ROUND(F12*G12,2))</f>
        <v/>
      </c>
      <c r="I12" s="6">
        <f>IF(F12="","",Config!$B$10)</f>
        <v/>
      </c>
      <c r="J12" s="11">
        <f>IF(F12="","",ROUND(F12*I12,2))</f>
        <v/>
      </c>
      <c r="K12" s="11">
        <f>IF(F12="","",F12+H12-J12)</f>
        <v/>
      </c>
      <c r="L12" s="12">
        <f>IF(A12="","",ROUNDUP(MONTH(A12)/3,0))</f>
        <v/>
      </c>
      <c r="M12" s="12">
        <f>IF(A12="","",MONTH(A12))</f>
        <v/>
      </c>
      <c r="N12" s="5" t="n"/>
    </row>
    <row r="13">
      <c r="A13" s="9" t="n"/>
      <c r="B13" s="5" t="n"/>
      <c r="C13" s="5" t="n"/>
      <c r="D13" s="5" t="n"/>
      <c r="E13" s="5" t="n"/>
      <c r="F13" s="10" t="n"/>
      <c r="G13" s="6">
        <f>IF(F13="","",Config!$B$9)</f>
        <v/>
      </c>
      <c r="H13" s="11">
        <f>IF(F13="","",ROUND(F13*G13,2))</f>
        <v/>
      </c>
      <c r="I13" s="6">
        <f>IF(F13="","",Config!$B$10)</f>
        <v/>
      </c>
      <c r="J13" s="11">
        <f>IF(F13="","",ROUND(F13*I13,2))</f>
        <v/>
      </c>
      <c r="K13" s="11">
        <f>IF(F13="","",F13+H13-J13)</f>
        <v/>
      </c>
      <c r="L13" s="12">
        <f>IF(A13="","",ROUNDUP(MONTH(A13)/3,0))</f>
        <v/>
      </c>
      <c r="M13" s="12">
        <f>IF(A13="","",MONTH(A13))</f>
        <v/>
      </c>
      <c r="N13" s="5" t="n"/>
    </row>
    <row r="14">
      <c r="A14" s="9" t="n"/>
      <c r="B14" s="5" t="n"/>
      <c r="C14" s="5" t="n"/>
      <c r="D14" s="5" t="n"/>
      <c r="E14" s="5" t="n"/>
      <c r="F14" s="10" t="n"/>
      <c r="G14" s="6">
        <f>IF(F14="","",Config!$B$9)</f>
        <v/>
      </c>
      <c r="H14" s="11">
        <f>IF(F14="","",ROUND(F14*G14,2))</f>
        <v/>
      </c>
      <c r="I14" s="6">
        <f>IF(F14="","",Config!$B$10)</f>
        <v/>
      </c>
      <c r="J14" s="11">
        <f>IF(F14="","",ROUND(F14*I14,2))</f>
        <v/>
      </c>
      <c r="K14" s="11">
        <f>IF(F14="","",F14+H14-J14)</f>
        <v/>
      </c>
      <c r="L14" s="12">
        <f>IF(A14="","",ROUNDUP(MONTH(A14)/3,0))</f>
        <v/>
      </c>
      <c r="M14" s="12">
        <f>IF(A14="","",MONTH(A14))</f>
        <v/>
      </c>
      <c r="N14" s="5" t="n"/>
    </row>
    <row r="15">
      <c r="A15" s="9" t="n"/>
      <c r="B15" s="5" t="n"/>
      <c r="C15" s="5" t="n"/>
      <c r="D15" s="5" t="n"/>
      <c r="E15" s="5" t="n"/>
      <c r="F15" s="10" t="n"/>
      <c r="G15" s="6">
        <f>IF(F15="","",Config!$B$9)</f>
        <v/>
      </c>
      <c r="H15" s="11">
        <f>IF(F15="","",ROUND(F15*G15,2))</f>
        <v/>
      </c>
      <c r="I15" s="6">
        <f>IF(F15="","",Config!$B$10)</f>
        <v/>
      </c>
      <c r="J15" s="11">
        <f>IF(F15="","",ROUND(F15*I15,2))</f>
        <v/>
      </c>
      <c r="K15" s="11">
        <f>IF(F15="","",F15+H15-J15)</f>
        <v/>
      </c>
      <c r="L15" s="12">
        <f>IF(A15="","",ROUNDUP(MONTH(A15)/3,0))</f>
        <v/>
      </c>
      <c r="M15" s="12">
        <f>IF(A15="","",MONTH(A15))</f>
        <v/>
      </c>
      <c r="N15" s="5" t="n"/>
    </row>
    <row r="16">
      <c r="A16" s="9" t="n"/>
      <c r="B16" s="5" t="n"/>
      <c r="C16" s="5" t="n"/>
      <c r="D16" s="5" t="n"/>
      <c r="E16" s="5" t="n"/>
      <c r="F16" s="10" t="n"/>
      <c r="G16" s="6">
        <f>IF(F16="","",Config!$B$9)</f>
        <v/>
      </c>
      <c r="H16" s="11">
        <f>IF(F16="","",ROUND(F16*G16,2))</f>
        <v/>
      </c>
      <c r="I16" s="6">
        <f>IF(F16="","",Config!$B$10)</f>
        <v/>
      </c>
      <c r="J16" s="11">
        <f>IF(F16="","",ROUND(F16*I16,2))</f>
        <v/>
      </c>
      <c r="K16" s="11">
        <f>IF(F16="","",F16+H16-J16)</f>
        <v/>
      </c>
      <c r="L16" s="12">
        <f>IF(A16="","",ROUNDUP(MONTH(A16)/3,0))</f>
        <v/>
      </c>
      <c r="M16" s="12">
        <f>IF(A16="","",MONTH(A16))</f>
        <v/>
      </c>
      <c r="N16" s="5" t="n"/>
    </row>
    <row r="17">
      <c r="A17" s="9" t="n"/>
      <c r="B17" s="5" t="n"/>
      <c r="C17" s="5" t="n"/>
      <c r="D17" s="5" t="n"/>
      <c r="E17" s="5" t="n"/>
      <c r="F17" s="10" t="n"/>
      <c r="G17" s="6">
        <f>IF(F17="","",Config!$B$9)</f>
        <v/>
      </c>
      <c r="H17" s="11">
        <f>IF(F17="","",ROUND(F17*G17,2))</f>
        <v/>
      </c>
      <c r="I17" s="6">
        <f>IF(F17="","",Config!$B$10)</f>
        <v/>
      </c>
      <c r="J17" s="11">
        <f>IF(F17="","",ROUND(F17*I17,2))</f>
        <v/>
      </c>
      <c r="K17" s="11">
        <f>IF(F17="","",F17+H17-J17)</f>
        <v/>
      </c>
      <c r="L17" s="12">
        <f>IF(A17="","",ROUNDUP(MONTH(A17)/3,0))</f>
        <v/>
      </c>
      <c r="M17" s="12">
        <f>IF(A17="","",MONTH(A17))</f>
        <v/>
      </c>
      <c r="N17" s="5" t="n"/>
    </row>
    <row r="18">
      <c r="A18" s="9" t="n"/>
      <c r="B18" s="5" t="n"/>
      <c r="C18" s="5" t="n"/>
      <c r="D18" s="5" t="n"/>
      <c r="E18" s="5" t="n"/>
      <c r="F18" s="10" t="n"/>
      <c r="G18" s="6">
        <f>IF(F18="","",Config!$B$9)</f>
        <v/>
      </c>
      <c r="H18" s="11">
        <f>IF(F18="","",ROUND(F18*G18,2))</f>
        <v/>
      </c>
      <c r="I18" s="6">
        <f>IF(F18="","",Config!$B$10)</f>
        <v/>
      </c>
      <c r="J18" s="11">
        <f>IF(F18="","",ROUND(F18*I18,2))</f>
        <v/>
      </c>
      <c r="K18" s="11">
        <f>IF(F18="","",F18+H18-J18)</f>
        <v/>
      </c>
      <c r="L18" s="12">
        <f>IF(A18="","",ROUNDUP(MONTH(A18)/3,0))</f>
        <v/>
      </c>
      <c r="M18" s="12">
        <f>IF(A18="","",MONTH(A18))</f>
        <v/>
      </c>
      <c r="N18" s="5" t="n"/>
    </row>
    <row r="19">
      <c r="A19" s="9" t="n"/>
      <c r="B19" s="5" t="n"/>
      <c r="C19" s="5" t="n"/>
      <c r="D19" s="5" t="n"/>
      <c r="E19" s="5" t="n"/>
      <c r="F19" s="10" t="n"/>
      <c r="G19" s="6">
        <f>IF(F19="","",Config!$B$9)</f>
        <v/>
      </c>
      <c r="H19" s="11">
        <f>IF(F19="","",ROUND(F19*G19,2))</f>
        <v/>
      </c>
      <c r="I19" s="6">
        <f>IF(F19="","",Config!$B$10)</f>
        <v/>
      </c>
      <c r="J19" s="11">
        <f>IF(F19="","",ROUND(F19*I19,2))</f>
        <v/>
      </c>
      <c r="K19" s="11">
        <f>IF(F19="","",F19+H19-J19)</f>
        <v/>
      </c>
      <c r="L19" s="12">
        <f>IF(A19="","",ROUNDUP(MONTH(A19)/3,0))</f>
        <v/>
      </c>
      <c r="M19" s="12">
        <f>IF(A19="","",MONTH(A19))</f>
        <v/>
      </c>
      <c r="N19" s="5" t="n"/>
    </row>
    <row r="20">
      <c r="A20" s="9" t="n"/>
      <c r="B20" s="5" t="n"/>
      <c r="C20" s="5" t="n"/>
      <c r="D20" s="5" t="n"/>
      <c r="E20" s="5" t="n"/>
      <c r="F20" s="10" t="n"/>
      <c r="G20" s="6">
        <f>IF(F20="","",Config!$B$9)</f>
        <v/>
      </c>
      <c r="H20" s="11">
        <f>IF(F20="","",ROUND(F20*G20,2))</f>
        <v/>
      </c>
      <c r="I20" s="6">
        <f>IF(F20="","",Config!$B$10)</f>
        <v/>
      </c>
      <c r="J20" s="11">
        <f>IF(F20="","",ROUND(F20*I20,2))</f>
        <v/>
      </c>
      <c r="K20" s="11">
        <f>IF(F20="","",F20+H20-J20)</f>
        <v/>
      </c>
      <c r="L20" s="12">
        <f>IF(A20="","",ROUNDUP(MONTH(A20)/3,0))</f>
        <v/>
      </c>
      <c r="M20" s="12">
        <f>IF(A20="","",MONTH(A20))</f>
        <v/>
      </c>
      <c r="N20" s="5" t="n"/>
    </row>
    <row r="21">
      <c r="A21" s="9" t="n"/>
      <c r="B21" s="5" t="n"/>
      <c r="C21" s="5" t="n"/>
      <c r="D21" s="5" t="n"/>
      <c r="E21" s="5" t="n"/>
      <c r="F21" s="10" t="n"/>
      <c r="G21" s="6">
        <f>IF(F21="","",Config!$B$9)</f>
        <v/>
      </c>
      <c r="H21" s="11">
        <f>IF(F21="","",ROUND(F21*G21,2))</f>
        <v/>
      </c>
      <c r="I21" s="6">
        <f>IF(F21="","",Config!$B$10)</f>
        <v/>
      </c>
      <c r="J21" s="11">
        <f>IF(F21="","",ROUND(F21*I21,2))</f>
        <v/>
      </c>
      <c r="K21" s="11">
        <f>IF(F21="","",F21+H21-J21)</f>
        <v/>
      </c>
      <c r="L21" s="12">
        <f>IF(A21="","",ROUNDUP(MONTH(A21)/3,0))</f>
        <v/>
      </c>
      <c r="M21" s="12">
        <f>IF(A21="","",MONTH(A21))</f>
        <v/>
      </c>
      <c r="N21" s="5" t="n"/>
    </row>
    <row r="22">
      <c r="A22" s="9" t="n"/>
      <c r="B22" s="5" t="n"/>
      <c r="C22" s="5" t="n"/>
      <c r="D22" s="5" t="n"/>
      <c r="E22" s="5" t="n"/>
      <c r="F22" s="10" t="n"/>
      <c r="G22" s="6">
        <f>IF(F22="","",Config!$B$9)</f>
        <v/>
      </c>
      <c r="H22" s="11">
        <f>IF(F22="","",ROUND(F22*G22,2))</f>
        <v/>
      </c>
      <c r="I22" s="6">
        <f>IF(F22="","",Config!$B$10)</f>
        <v/>
      </c>
      <c r="J22" s="11">
        <f>IF(F22="","",ROUND(F22*I22,2))</f>
        <v/>
      </c>
      <c r="K22" s="11">
        <f>IF(F22="","",F22+H22-J22)</f>
        <v/>
      </c>
      <c r="L22" s="12">
        <f>IF(A22="","",ROUNDUP(MONTH(A22)/3,0))</f>
        <v/>
      </c>
      <c r="M22" s="12">
        <f>IF(A22="","",MONTH(A22))</f>
        <v/>
      </c>
      <c r="N22" s="5" t="n"/>
    </row>
    <row r="23">
      <c r="A23" s="9" t="n"/>
      <c r="B23" s="5" t="n"/>
      <c r="C23" s="5" t="n"/>
      <c r="D23" s="5" t="n"/>
      <c r="E23" s="5" t="n"/>
      <c r="F23" s="10" t="n"/>
      <c r="G23" s="6">
        <f>IF(F23="","",Config!$B$9)</f>
        <v/>
      </c>
      <c r="H23" s="11">
        <f>IF(F23="","",ROUND(F23*G23,2))</f>
        <v/>
      </c>
      <c r="I23" s="6">
        <f>IF(F23="","",Config!$B$10)</f>
        <v/>
      </c>
      <c r="J23" s="11">
        <f>IF(F23="","",ROUND(F23*I23,2))</f>
        <v/>
      </c>
      <c r="K23" s="11">
        <f>IF(F23="","",F23+H23-J23)</f>
        <v/>
      </c>
      <c r="L23" s="12">
        <f>IF(A23="","",ROUNDUP(MONTH(A23)/3,0))</f>
        <v/>
      </c>
      <c r="M23" s="12">
        <f>IF(A23="","",MONTH(A23))</f>
        <v/>
      </c>
      <c r="N23" s="5" t="n"/>
    </row>
    <row r="24">
      <c r="A24" s="9" t="n"/>
      <c r="B24" s="5" t="n"/>
      <c r="C24" s="5" t="n"/>
      <c r="D24" s="5" t="n"/>
      <c r="E24" s="5" t="n"/>
      <c r="F24" s="10" t="n"/>
      <c r="G24" s="6">
        <f>IF(F24="","",Config!$B$9)</f>
        <v/>
      </c>
      <c r="H24" s="11">
        <f>IF(F24="","",ROUND(F24*G24,2))</f>
        <v/>
      </c>
      <c r="I24" s="6">
        <f>IF(F24="","",Config!$B$10)</f>
        <v/>
      </c>
      <c r="J24" s="11">
        <f>IF(F24="","",ROUND(F24*I24,2))</f>
        <v/>
      </c>
      <c r="K24" s="11">
        <f>IF(F24="","",F24+H24-J24)</f>
        <v/>
      </c>
      <c r="L24" s="12">
        <f>IF(A24="","",ROUNDUP(MONTH(A24)/3,0))</f>
        <v/>
      </c>
      <c r="M24" s="12">
        <f>IF(A24="","",MONTH(A24))</f>
        <v/>
      </c>
      <c r="N24" s="5" t="n"/>
    </row>
    <row r="25">
      <c r="A25" s="9" t="n"/>
      <c r="B25" s="5" t="n"/>
      <c r="C25" s="5" t="n"/>
      <c r="D25" s="5" t="n"/>
      <c r="E25" s="5" t="n"/>
      <c r="F25" s="10" t="n"/>
      <c r="G25" s="6">
        <f>IF(F25="","",Config!$B$9)</f>
        <v/>
      </c>
      <c r="H25" s="11">
        <f>IF(F25="","",ROUND(F25*G25,2))</f>
        <v/>
      </c>
      <c r="I25" s="6">
        <f>IF(F25="","",Config!$B$10)</f>
        <v/>
      </c>
      <c r="J25" s="11">
        <f>IF(F25="","",ROUND(F25*I25,2))</f>
        <v/>
      </c>
      <c r="K25" s="11">
        <f>IF(F25="","",F25+H25-J25)</f>
        <v/>
      </c>
      <c r="L25" s="12">
        <f>IF(A25="","",ROUNDUP(MONTH(A25)/3,0))</f>
        <v/>
      </c>
      <c r="M25" s="12">
        <f>IF(A25="","",MONTH(A25))</f>
        <v/>
      </c>
      <c r="N25" s="5" t="n"/>
    </row>
    <row r="26">
      <c r="A26" s="9" t="n"/>
      <c r="B26" s="5" t="n"/>
      <c r="C26" s="5" t="n"/>
      <c r="D26" s="5" t="n"/>
      <c r="E26" s="5" t="n"/>
      <c r="F26" s="10" t="n"/>
      <c r="G26" s="6">
        <f>IF(F26="","",Config!$B$9)</f>
        <v/>
      </c>
      <c r="H26" s="11">
        <f>IF(F26="","",ROUND(F26*G26,2))</f>
        <v/>
      </c>
      <c r="I26" s="6">
        <f>IF(F26="","",Config!$B$10)</f>
        <v/>
      </c>
      <c r="J26" s="11">
        <f>IF(F26="","",ROUND(F26*I26,2))</f>
        <v/>
      </c>
      <c r="K26" s="11">
        <f>IF(F26="","",F26+H26-J26)</f>
        <v/>
      </c>
      <c r="L26" s="12">
        <f>IF(A26="","",ROUNDUP(MONTH(A26)/3,0))</f>
        <v/>
      </c>
      <c r="M26" s="12">
        <f>IF(A26="","",MONTH(A26))</f>
        <v/>
      </c>
      <c r="N26" s="5" t="n"/>
    </row>
    <row r="27">
      <c r="A27" s="9" t="n"/>
      <c r="B27" s="5" t="n"/>
      <c r="C27" s="5" t="n"/>
      <c r="D27" s="5" t="n"/>
      <c r="E27" s="5" t="n"/>
      <c r="F27" s="10" t="n"/>
      <c r="G27" s="6">
        <f>IF(F27="","",Config!$B$9)</f>
        <v/>
      </c>
      <c r="H27" s="11">
        <f>IF(F27="","",ROUND(F27*G27,2))</f>
        <v/>
      </c>
      <c r="I27" s="6">
        <f>IF(F27="","",Config!$B$10)</f>
        <v/>
      </c>
      <c r="J27" s="11">
        <f>IF(F27="","",ROUND(F27*I27,2))</f>
        <v/>
      </c>
      <c r="K27" s="11">
        <f>IF(F27="","",F27+H27-J27)</f>
        <v/>
      </c>
      <c r="L27" s="12">
        <f>IF(A27="","",ROUNDUP(MONTH(A27)/3,0))</f>
        <v/>
      </c>
      <c r="M27" s="12">
        <f>IF(A27="","",MONTH(A27))</f>
        <v/>
      </c>
      <c r="N27" s="5" t="n"/>
    </row>
    <row r="28">
      <c r="A28" s="9" t="n"/>
      <c r="B28" s="5" t="n"/>
      <c r="C28" s="5" t="n"/>
      <c r="D28" s="5" t="n"/>
      <c r="E28" s="5" t="n"/>
      <c r="F28" s="10" t="n"/>
      <c r="G28" s="6">
        <f>IF(F28="","",Config!$B$9)</f>
        <v/>
      </c>
      <c r="H28" s="11">
        <f>IF(F28="","",ROUND(F28*G28,2))</f>
        <v/>
      </c>
      <c r="I28" s="6">
        <f>IF(F28="","",Config!$B$10)</f>
        <v/>
      </c>
      <c r="J28" s="11">
        <f>IF(F28="","",ROUND(F28*I28,2))</f>
        <v/>
      </c>
      <c r="K28" s="11">
        <f>IF(F28="","",F28+H28-J28)</f>
        <v/>
      </c>
      <c r="L28" s="12">
        <f>IF(A28="","",ROUNDUP(MONTH(A28)/3,0))</f>
        <v/>
      </c>
      <c r="M28" s="12">
        <f>IF(A28="","",MONTH(A28))</f>
        <v/>
      </c>
      <c r="N28" s="5" t="n"/>
    </row>
    <row r="29">
      <c r="A29" s="9" t="n"/>
      <c r="B29" s="5" t="n"/>
      <c r="C29" s="5" t="n"/>
      <c r="D29" s="5" t="n"/>
      <c r="E29" s="5" t="n"/>
      <c r="F29" s="10" t="n"/>
      <c r="G29" s="6">
        <f>IF(F29="","",Config!$B$9)</f>
        <v/>
      </c>
      <c r="H29" s="11">
        <f>IF(F29="","",ROUND(F29*G29,2))</f>
        <v/>
      </c>
      <c r="I29" s="6">
        <f>IF(F29="","",Config!$B$10)</f>
        <v/>
      </c>
      <c r="J29" s="11">
        <f>IF(F29="","",ROUND(F29*I29,2))</f>
        <v/>
      </c>
      <c r="K29" s="11">
        <f>IF(F29="","",F29+H29-J29)</f>
        <v/>
      </c>
      <c r="L29" s="12">
        <f>IF(A29="","",ROUNDUP(MONTH(A29)/3,0))</f>
        <v/>
      </c>
      <c r="M29" s="12">
        <f>IF(A29="","",MONTH(A29))</f>
        <v/>
      </c>
      <c r="N29" s="5" t="n"/>
    </row>
    <row r="30">
      <c r="A30" s="9" t="n"/>
      <c r="B30" s="5" t="n"/>
      <c r="C30" s="5" t="n"/>
      <c r="D30" s="5" t="n"/>
      <c r="E30" s="5" t="n"/>
      <c r="F30" s="10" t="n"/>
      <c r="G30" s="6">
        <f>IF(F30="","",Config!$B$9)</f>
        <v/>
      </c>
      <c r="H30" s="11">
        <f>IF(F30="","",ROUND(F30*G30,2))</f>
        <v/>
      </c>
      <c r="I30" s="6">
        <f>IF(F30="","",Config!$B$10)</f>
        <v/>
      </c>
      <c r="J30" s="11">
        <f>IF(F30="","",ROUND(F30*I30,2))</f>
        <v/>
      </c>
      <c r="K30" s="11">
        <f>IF(F30="","",F30+H30-J30)</f>
        <v/>
      </c>
      <c r="L30" s="12">
        <f>IF(A30="","",ROUNDUP(MONTH(A30)/3,0))</f>
        <v/>
      </c>
      <c r="M30" s="12">
        <f>IF(A30="","",MONTH(A30))</f>
        <v/>
      </c>
      <c r="N30" s="5" t="n"/>
    </row>
    <row r="31">
      <c r="A31" s="9" t="n"/>
      <c r="B31" s="5" t="n"/>
      <c r="C31" s="5" t="n"/>
      <c r="D31" s="5" t="n"/>
      <c r="E31" s="5" t="n"/>
      <c r="F31" s="10" t="n"/>
      <c r="G31" s="6">
        <f>IF(F31="","",Config!$B$9)</f>
        <v/>
      </c>
      <c r="H31" s="11">
        <f>IF(F31="","",ROUND(F31*G31,2))</f>
        <v/>
      </c>
      <c r="I31" s="6">
        <f>IF(F31="","",Config!$B$10)</f>
        <v/>
      </c>
      <c r="J31" s="11">
        <f>IF(F31="","",ROUND(F31*I31,2))</f>
        <v/>
      </c>
      <c r="K31" s="11">
        <f>IF(F31="","",F31+H31-J31)</f>
        <v/>
      </c>
      <c r="L31" s="12">
        <f>IF(A31="","",ROUNDUP(MONTH(A31)/3,0))</f>
        <v/>
      </c>
      <c r="M31" s="12">
        <f>IF(A31="","",MONTH(A31))</f>
        <v/>
      </c>
      <c r="N31" s="5" t="n"/>
    </row>
    <row r="32">
      <c r="A32" s="9" t="n"/>
      <c r="B32" s="5" t="n"/>
      <c r="C32" s="5" t="n"/>
      <c r="D32" s="5" t="n"/>
      <c r="E32" s="5" t="n"/>
      <c r="F32" s="10" t="n"/>
      <c r="G32" s="6">
        <f>IF(F32="","",Config!$B$9)</f>
        <v/>
      </c>
      <c r="H32" s="11">
        <f>IF(F32="","",ROUND(F32*G32,2))</f>
        <v/>
      </c>
      <c r="I32" s="6">
        <f>IF(F32="","",Config!$B$10)</f>
        <v/>
      </c>
      <c r="J32" s="11">
        <f>IF(F32="","",ROUND(F32*I32,2))</f>
        <v/>
      </c>
      <c r="K32" s="11">
        <f>IF(F32="","",F32+H32-J32)</f>
        <v/>
      </c>
      <c r="L32" s="12">
        <f>IF(A32="","",ROUNDUP(MONTH(A32)/3,0))</f>
        <v/>
      </c>
      <c r="M32" s="12">
        <f>IF(A32="","",MONTH(A32))</f>
        <v/>
      </c>
      <c r="N32" s="5" t="n"/>
    </row>
    <row r="33">
      <c r="A33" s="9" t="n"/>
      <c r="B33" s="5" t="n"/>
      <c r="C33" s="5" t="n"/>
      <c r="D33" s="5" t="n"/>
      <c r="E33" s="5" t="n"/>
      <c r="F33" s="10" t="n"/>
      <c r="G33" s="6">
        <f>IF(F33="","",Config!$B$9)</f>
        <v/>
      </c>
      <c r="H33" s="11">
        <f>IF(F33="","",ROUND(F33*G33,2))</f>
        <v/>
      </c>
      <c r="I33" s="6">
        <f>IF(F33="","",Config!$B$10)</f>
        <v/>
      </c>
      <c r="J33" s="11">
        <f>IF(F33="","",ROUND(F33*I33,2))</f>
        <v/>
      </c>
      <c r="K33" s="11">
        <f>IF(F33="","",F33+H33-J33)</f>
        <v/>
      </c>
      <c r="L33" s="12">
        <f>IF(A33="","",ROUNDUP(MONTH(A33)/3,0))</f>
        <v/>
      </c>
      <c r="M33" s="12">
        <f>IF(A33="","",MONTH(A33))</f>
        <v/>
      </c>
      <c r="N33" s="5" t="n"/>
    </row>
    <row r="34">
      <c r="A34" s="9" t="n"/>
      <c r="B34" s="5" t="n"/>
      <c r="C34" s="5" t="n"/>
      <c r="D34" s="5" t="n"/>
      <c r="E34" s="5" t="n"/>
      <c r="F34" s="10" t="n"/>
      <c r="G34" s="6">
        <f>IF(F34="","",Config!$B$9)</f>
        <v/>
      </c>
      <c r="H34" s="11">
        <f>IF(F34="","",ROUND(F34*G34,2))</f>
        <v/>
      </c>
      <c r="I34" s="6">
        <f>IF(F34="","",Config!$B$10)</f>
        <v/>
      </c>
      <c r="J34" s="11">
        <f>IF(F34="","",ROUND(F34*I34,2))</f>
        <v/>
      </c>
      <c r="K34" s="11">
        <f>IF(F34="","",F34+H34-J34)</f>
        <v/>
      </c>
      <c r="L34" s="12">
        <f>IF(A34="","",ROUNDUP(MONTH(A34)/3,0))</f>
        <v/>
      </c>
      <c r="M34" s="12">
        <f>IF(A34="","",MONTH(A34))</f>
        <v/>
      </c>
      <c r="N34" s="5" t="n"/>
    </row>
    <row r="35">
      <c r="A35" s="9" t="n"/>
      <c r="B35" s="5" t="n"/>
      <c r="C35" s="5" t="n"/>
      <c r="D35" s="5" t="n"/>
      <c r="E35" s="5" t="n"/>
      <c r="F35" s="10" t="n"/>
      <c r="G35" s="6">
        <f>IF(F35="","",Config!$B$9)</f>
        <v/>
      </c>
      <c r="H35" s="11">
        <f>IF(F35="","",ROUND(F35*G35,2))</f>
        <v/>
      </c>
      <c r="I35" s="6">
        <f>IF(F35="","",Config!$B$10)</f>
        <v/>
      </c>
      <c r="J35" s="11">
        <f>IF(F35="","",ROUND(F35*I35,2))</f>
        <v/>
      </c>
      <c r="K35" s="11">
        <f>IF(F35="","",F35+H35-J35)</f>
        <v/>
      </c>
      <c r="L35" s="12">
        <f>IF(A35="","",ROUNDUP(MONTH(A35)/3,0))</f>
        <v/>
      </c>
      <c r="M35" s="12">
        <f>IF(A35="","",MONTH(A35))</f>
        <v/>
      </c>
      <c r="N35" s="5" t="n"/>
    </row>
    <row r="36">
      <c r="A36" s="9" t="n"/>
      <c r="B36" s="5" t="n"/>
      <c r="C36" s="5" t="n"/>
      <c r="D36" s="5" t="n"/>
      <c r="E36" s="5" t="n"/>
      <c r="F36" s="10" t="n"/>
      <c r="G36" s="6">
        <f>IF(F36="","",Config!$B$9)</f>
        <v/>
      </c>
      <c r="H36" s="11">
        <f>IF(F36="","",ROUND(F36*G36,2))</f>
        <v/>
      </c>
      <c r="I36" s="6">
        <f>IF(F36="","",Config!$B$10)</f>
        <v/>
      </c>
      <c r="J36" s="11">
        <f>IF(F36="","",ROUND(F36*I36,2))</f>
        <v/>
      </c>
      <c r="K36" s="11">
        <f>IF(F36="","",F36+H36-J36)</f>
        <v/>
      </c>
      <c r="L36" s="12">
        <f>IF(A36="","",ROUNDUP(MONTH(A36)/3,0))</f>
        <v/>
      </c>
      <c r="M36" s="12">
        <f>IF(A36="","",MONTH(A36))</f>
        <v/>
      </c>
      <c r="N36" s="5" t="n"/>
    </row>
    <row r="37">
      <c r="A37" s="9" t="n"/>
      <c r="B37" s="5" t="n"/>
      <c r="C37" s="5" t="n"/>
      <c r="D37" s="5" t="n"/>
      <c r="E37" s="5" t="n"/>
      <c r="F37" s="10" t="n"/>
      <c r="G37" s="6">
        <f>IF(F37="","",Config!$B$9)</f>
        <v/>
      </c>
      <c r="H37" s="11">
        <f>IF(F37="","",ROUND(F37*G37,2))</f>
        <v/>
      </c>
      <c r="I37" s="6">
        <f>IF(F37="","",Config!$B$10)</f>
        <v/>
      </c>
      <c r="J37" s="11">
        <f>IF(F37="","",ROUND(F37*I37,2))</f>
        <v/>
      </c>
      <c r="K37" s="11">
        <f>IF(F37="","",F37+H37-J37)</f>
        <v/>
      </c>
      <c r="L37" s="12">
        <f>IF(A37="","",ROUNDUP(MONTH(A37)/3,0))</f>
        <v/>
      </c>
      <c r="M37" s="12">
        <f>IF(A37="","",MONTH(A37))</f>
        <v/>
      </c>
      <c r="N37" s="5" t="n"/>
    </row>
    <row r="38">
      <c r="A38" s="9" t="n"/>
      <c r="B38" s="5" t="n"/>
      <c r="C38" s="5" t="n"/>
      <c r="D38" s="5" t="n"/>
      <c r="E38" s="5" t="n"/>
      <c r="F38" s="10" t="n"/>
      <c r="G38" s="6">
        <f>IF(F38="","",Config!$B$9)</f>
        <v/>
      </c>
      <c r="H38" s="11">
        <f>IF(F38="","",ROUND(F38*G38,2))</f>
        <v/>
      </c>
      <c r="I38" s="6">
        <f>IF(F38="","",Config!$B$10)</f>
        <v/>
      </c>
      <c r="J38" s="11">
        <f>IF(F38="","",ROUND(F38*I38,2))</f>
        <v/>
      </c>
      <c r="K38" s="11">
        <f>IF(F38="","",F38+H38-J38)</f>
        <v/>
      </c>
      <c r="L38" s="12">
        <f>IF(A38="","",ROUNDUP(MONTH(A38)/3,0))</f>
        <v/>
      </c>
      <c r="M38" s="12">
        <f>IF(A38="","",MONTH(A38))</f>
        <v/>
      </c>
      <c r="N38" s="5" t="n"/>
    </row>
    <row r="39">
      <c r="A39" s="9" t="n"/>
      <c r="B39" s="5" t="n"/>
      <c r="C39" s="5" t="n"/>
      <c r="D39" s="5" t="n"/>
      <c r="E39" s="5" t="n"/>
      <c r="F39" s="10" t="n"/>
      <c r="G39" s="6">
        <f>IF(F39="","",Config!$B$9)</f>
        <v/>
      </c>
      <c r="H39" s="11">
        <f>IF(F39="","",ROUND(F39*G39,2))</f>
        <v/>
      </c>
      <c r="I39" s="6">
        <f>IF(F39="","",Config!$B$10)</f>
        <v/>
      </c>
      <c r="J39" s="11">
        <f>IF(F39="","",ROUND(F39*I39,2))</f>
        <v/>
      </c>
      <c r="K39" s="11">
        <f>IF(F39="","",F39+H39-J39)</f>
        <v/>
      </c>
      <c r="L39" s="12">
        <f>IF(A39="","",ROUNDUP(MONTH(A39)/3,0))</f>
        <v/>
      </c>
      <c r="M39" s="12">
        <f>IF(A39="","",MONTH(A39))</f>
        <v/>
      </c>
      <c r="N39" s="5" t="n"/>
    </row>
    <row r="40">
      <c r="A40" s="9" t="n"/>
      <c r="B40" s="5" t="n"/>
      <c r="C40" s="5" t="n"/>
      <c r="D40" s="5" t="n"/>
      <c r="E40" s="5" t="n"/>
      <c r="F40" s="10" t="n"/>
      <c r="G40" s="6">
        <f>IF(F40="","",Config!$B$9)</f>
        <v/>
      </c>
      <c r="H40" s="11">
        <f>IF(F40="","",ROUND(F40*G40,2))</f>
        <v/>
      </c>
      <c r="I40" s="6">
        <f>IF(F40="","",Config!$B$10)</f>
        <v/>
      </c>
      <c r="J40" s="11">
        <f>IF(F40="","",ROUND(F40*I40,2))</f>
        <v/>
      </c>
      <c r="K40" s="11">
        <f>IF(F40="","",F40+H40-J40)</f>
        <v/>
      </c>
      <c r="L40" s="12">
        <f>IF(A40="","",ROUNDUP(MONTH(A40)/3,0))</f>
        <v/>
      </c>
      <c r="M40" s="12">
        <f>IF(A40="","",MONTH(A40))</f>
        <v/>
      </c>
      <c r="N40" s="5" t="n"/>
    </row>
    <row r="41">
      <c r="A41" s="9" t="n"/>
      <c r="B41" s="5" t="n"/>
      <c r="C41" s="5" t="n"/>
      <c r="D41" s="5" t="n"/>
      <c r="E41" s="5" t="n"/>
      <c r="F41" s="10" t="n"/>
      <c r="G41" s="6">
        <f>IF(F41="","",Config!$B$9)</f>
        <v/>
      </c>
      <c r="H41" s="11">
        <f>IF(F41="","",ROUND(F41*G41,2))</f>
        <v/>
      </c>
      <c r="I41" s="6">
        <f>IF(F41="","",Config!$B$10)</f>
        <v/>
      </c>
      <c r="J41" s="11">
        <f>IF(F41="","",ROUND(F41*I41,2))</f>
        <v/>
      </c>
      <c r="K41" s="11">
        <f>IF(F41="","",F41+H41-J41)</f>
        <v/>
      </c>
      <c r="L41" s="12">
        <f>IF(A41="","",ROUNDUP(MONTH(A41)/3,0))</f>
        <v/>
      </c>
      <c r="M41" s="12">
        <f>IF(A41="","",MONTH(A41))</f>
        <v/>
      </c>
      <c r="N41" s="5" t="n"/>
    </row>
    <row r="42">
      <c r="A42" s="9" t="n"/>
      <c r="B42" s="5" t="n"/>
      <c r="C42" s="5" t="n"/>
      <c r="D42" s="5" t="n"/>
      <c r="E42" s="5" t="n"/>
      <c r="F42" s="10" t="n"/>
      <c r="G42" s="6">
        <f>IF(F42="","",Config!$B$9)</f>
        <v/>
      </c>
      <c r="H42" s="11">
        <f>IF(F42="","",ROUND(F42*G42,2))</f>
        <v/>
      </c>
      <c r="I42" s="6">
        <f>IF(F42="","",Config!$B$10)</f>
        <v/>
      </c>
      <c r="J42" s="11">
        <f>IF(F42="","",ROUND(F42*I42,2))</f>
        <v/>
      </c>
      <c r="K42" s="11">
        <f>IF(F42="","",F42+H42-J42)</f>
        <v/>
      </c>
      <c r="L42" s="12">
        <f>IF(A42="","",ROUNDUP(MONTH(A42)/3,0))</f>
        <v/>
      </c>
      <c r="M42" s="12">
        <f>IF(A42="","",MONTH(A42))</f>
        <v/>
      </c>
      <c r="N42" s="5" t="n"/>
    </row>
    <row r="43">
      <c r="A43" s="9" t="n"/>
      <c r="B43" s="5" t="n"/>
      <c r="C43" s="5" t="n"/>
      <c r="D43" s="5" t="n"/>
      <c r="E43" s="5" t="n"/>
      <c r="F43" s="10" t="n"/>
      <c r="G43" s="6">
        <f>IF(F43="","",Config!$B$9)</f>
        <v/>
      </c>
      <c r="H43" s="11">
        <f>IF(F43="","",ROUND(F43*G43,2))</f>
        <v/>
      </c>
      <c r="I43" s="6">
        <f>IF(F43="","",Config!$B$10)</f>
        <v/>
      </c>
      <c r="J43" s="11">
        <f>IF(F43="","",ROUND(F43*I43,2))</f>
        <v/>
      </c>
      <c r="K43" s="11">
        <f>IF(F43="","",F43+H43-J43)</f>
        <v/>
      </c>
      <c r="L43" s="12">
        <f>IF(A43="","",ROUNDUP(MONTH(A43)/3,0))</f>
        <v/>
      </c>
      <c r="M43" s="12">
        <f>IF(A43="","",MONTH(A43))</f>
        <v/>
      </c>
      <c r="N43" s="5" t="n"/>
    </row>
    <row r="44">
      <c r="A44" s="9" t="n"/>
      <c r="B44" s="5" t="n"/>
      <c r="C44" s="5" t="n"/>
      <c r="D44" s="5" t="n"/>
      <c r="E44" s="5" t="n"/>
      <c r="F44" s="10" t="n"/>
      <c r="G44" s="6">
        <f>IF(F44="","",Config!$B$9)</f>
        <v/>
      </c>
      <c r="H44" s="11">
        <f>IF(F44="","",ROUND(F44*G44,2))</f>
        <v/>
      </c>
      <c r="I44" s="6">
        <f>IF(F44="","",Config!$B$10)</f>
        <v/>
      </c>
      <c r="J44" s="11">
        <f>IF(F44="","",ROUND(F44*I44,2))</f>
        <v/>
      </c>
      <c r="K44" s="11">
        <f>IF(F44="","",F44+H44-J44)</f>
        <v/>
      </c>
      <c r="L44" s="12">
        <f>IF(A44="","",ROUNDUP(MONTH(A44)/3,0))</f>
        <v/>
      </c>
      <c r="M44" s="12">
        <f>IF(A44="","",MONTH(A44))</f>
        <v/>
      </c>
      <c r="N44" s="5" t="n"/>
    </row>
    <row r="45">
      <c r="A45" s="9" t="n"/>
      <c r="B45" s="5" t="n"/>
      <c r="C45" s="5" t="n"/>
      <c r="D45" s="5" t="n"/>
      <c r="E45" s="5" t="n"/>
      <c r="F45" s="10" t="n"/>
      <c r="G45" s="6">
        <f>IF(F45="","",Config!$B$9)</f>
        <v/>
      </c>
      <c r="H45" s="11">
        <f>IF(F45="","",ROUND(F45*G45,2))</f>
        <v/>
      </c>
      <c r="I45" s="6">
        <f>IF(F45="","",Config!$B$10)</f>
        <v/>
      </c>
      <c r="J45" s="11">
        <f>IF(F45="","",ROUND(F45*I45,2))</f>
        <v/>
      </c>
      <c r="K45" s="11">
        <f>IF(F45="","",F45+H45-J45)</f>
        <v/>
      </c>
      <c r="L45" s="12">
        <f>IF(A45="","",ROUNDUP(MONTH(A45)/3,0))</f>
        <v/>
      </c>
      <c r="M45" s="12">
        <f>IF(A45="","",MONTH(A45))</f>
        <v/>
      </c>
      <c r="N45" s="5" t="n"/>
    </row>
    <row r="46">
      <c r="A46" s="9" t="n"/>
      <c r="B46" s="5" t="n"/>
      <c r="C46" s="5" t="n"/>
      <c r="D46" s="5" t="n"/>
      <c r="E46" s="5" t="n"/>
      <c r="F46" s="10" t="n"/>
      <c r="G46" s="6">
        <f>IF(F46="","",Config!$B$9)</f>
        <v/>
      </c>
      <c r="H46" s="11">
        <f>IF(F46="","",ROUND(F46*G46,2))</f>
        <v/>
      </c>
      <c r="I46" s="6">
        <f>IF(F46="","",Config!$B$10)</f>
        <v/>
      </c>
      <c r="J46" s="11">
        <f>IF(F46="","",ROUND(F46*I46,2))</f>
        <v/>
      </c>
      <c r="K46" s="11">
        <f>IF(F46="","",F46+H46-J46)</f>
        <v/>
      </c>
      <c r="L46" s="12">
        <f>IF(A46="","",ROUNDUP(MONTH(A46)/3,0))</f>
        <v/>
      </c>
      <c r="M46" s="12">
        <f>IF(A46="","",MONTH(A46))</f>
        <v/>
      </c>
      <c r="N46" s="5" t="n"/>
    </row>
    <row r="47">
      <c r="A47" s="9" t="n"/>
      <c r="B47" s="5" t="n"/>
      <c r="C47" s="5" t="n"/>
      <c r="D47" s="5" t="n"/>
      <c r="E47" s="5" t="n"/>
      <c r="F47" s="10" t="n"/>
      <c r="G47" s="6">
        <f>IF(F47="","",Config!$B$9)</f>
        <v/>
      </c>
      <c r="H47" s="11">
        <f>IF(F47="","",ROUND(F47*G47,2))</f>
        <v/>
      </c>
      <c r="I47" s="6">
        <f>IF(F47="","",Config!$B$10)</f>
        <v/>
      </c>
      <c r="J47" s="11">
        <f>IF(F47="","",ROUND(F47*I47,2))</f>
        <v/>
      </c>
      <c r="K47" s="11">
        <f>IF(F47="","",F47+H47-J47)</f>
        <v/>
      </c>
      <c r="L47" s="12">
        <f>IF(A47="","",ROUNDUP(MONTH(A47)/3,0))</f>
        <v/>
      </c>
      <c r="M47" s="12">
        <f>IF(A47="","",MONTH(A47))</f>
        <v/>
      </c>
      <c r="N47" s="5" t="n"/>
    </row>
    <row r="48">
      <c r="A48" s="9" t="n"/>
      <c r="B48" s="5" t="n"/>
      <c r="C48" s="5" t="n"/>
      <c r="D48" s="5" t="n"/>
      <c r="E48" s="5" t="n"/>
      <c r="F48" s="10" t="n"/>
      <c r="G48" s="6">
        <f>IF(F48="","",Config!$B$9)</f>
        <v/>
      </c>
      <c r="H48" s="11">
        <f>IF(F48="","",ROUND(F48*G48,2))</f>
        <v/>
      </c>
      <c r="I48" s="6">
        <f>IF(F48="","",Config!$B$10)</f>
        <v/>
      </c>
      <c r="J48" s="11">
        <f>IF(F48="","",ROUND(F48*I48,2))</f>
        <v/>
      </c>
      <c r="K48" s="11">
        <f>IF(F48="","",F48+H48-J48)</f>
        <v/>
      </c>
      <c r="L48" s="12">
        <f>IF(A48="","",ROUNDUP(MONTH(A48)/3,0))</f>
        <v/>
      </c>
      <c r="M48" s="12">
        <f>IF(A48="","",MONTH(A48))</f>
        <v/>
      </c>
      <c r="N48" s="5" t="n"/>
    </row>
    <row r="49">
      <c r="A49" s="9" t="n"/>
      <c r="B49" s="5" t="n"/>
      <c r="C49" s="5" t="n"/>
      <c r="D49" s="5" t="n"/>
      <c r="E49" s="5" t="n"/>
      <c r="F49" s="10" t="n"/>
      <c r="G49" s="6">
        <f>IF(F49="","",Config!$B$9)</f>
        <v/>
      </c>
      <c r="H49" s="11">
        <f>IF(F49="","",ROUND(F49*G49,2))</f>
        <v/>
      </c>
      <c r="I49" s="6">
        <f>IF(F49="","",Config!$B$10)</f>
        <v/>
      </c>
      <c r="J49" s="11">
        <f>IF(F49="","",ROUND(F49*I49,2))</f>
        <v/>
      </c>
      <c r="K49" s="11">
        <f>IF(F49="","",F49+H49-J49)</f>
        <v/>
      </c>
      <c r="L49" s="12">
        <f>IF(A49="","",ROUNDUP(MONTH(A49)/3,0))</f>
        <v/>
      </c>
      <c r="M49" s="12">
        <f>IF(A49="","",MONTH(A49))</f>
        <v/>
      </c>
      <c r="N49" s="5" t="n"/>
    </row>
    <row r="50">
      <c r="A50" s="9" t="n"/>
      <c r="B50" s="5" t="n"/>
      <c r="C50" s="5" t="n"/>
      <c r="D50" s="5" t="n"/>
      <c r="E50" s="5" t="n"/>
      <c r="F50" s="10" t="n"/>
      <c r="G50" s="6">
        <f>IF(F50="","",Config!$B$9)</f>
        <v/>
      </c>
      <c r="H50" s="11">
        <f>IF(F50="","",ROUND(F50*G50,2))</f>
        <v/>
      </c>
      <c r="I50" s="6">
        <f>IF(F50="","",Config!$B$10)</f>
        <v/>
      </c>
      <c r="J50" s="11">
        <f>IF(F50="","",ROUND(F50*I50,2))</f>
        <v/>
      </c>
      <c r="K50" s="11">
        <f>IF(F50="","",F50+H50-J50)</f>
        <v/>
      </c>
      <c r="L50" s="12">
        <f>IF(A50="","",ROUNDUP(MONTH(A50)/3,0))</f>
        <v/>
      </c>
      <c r="M50" s="12">
        <f>IF(A50="","",MONTH(A50))</f>
        <v/>
      </c>
      <c r="N50" s="5" t="n"/>
    </row>
    <row r="51">
      <c r="A51" s="9" t="n"/>
      <c r="B51" s="5" t="n"/>
      <c r="C51" s="5" t="n"/>
      <c r="D51" s="5" t="n"/>
      <c r="E51" s="5" t="n"/>
      <c r="F51" s="10" t="n"/>
      <c r="G51" s="6">
        <f>IF(F51="","",Config!$B$9)</f>
        <v/>
      </c>
      <c r="H51" s="11">
        <f>IF(F51="","",ROUND(F51*G51,2))</f>
        <v/>
      </c>
      <c r="I51" s="6">
        <f>IF(F51="","",Config!$B$10)</f>
        <v/>
      </c>
      <c r="J51" s="11">
        <f>IF(F51="","",ROUND(F51*I51,2))</f>
        <v/>
      </c>
      <c r="K51" s="11">
        <f>IF(F51="","",F51+H51-J51)</f>
        <v/>
      </c>
      <c r="L51" s="12">
        <f>IF(A51="","",ROUNDUP(MONTH(A51)/3,0))</f>
        <v/>
      </c>
      <c r="M51" s="12">
        <f>IF(A51="","",MONTH(A51))</f>
        <v/>
      </c>
      <c r="N51" s="5" t="n"/>
    </row>
    <row r="52">
      <c r="A52" s="9" t="n"/>
      <c r="B52" s="5" t="n"/>
      <c r="C52" s="5" t="n"/>
      <c r="D52" s="5" t="n"/>
      <c r="E52" s="5" t="n"/>
      <c r="F52" s="10" t="n"/>
      <c r="G52" s="6">
        <f>IF(F52="","",Config!$B$9)</f>
        <v/>
      </c>
      <c r="H52" s="11">
        <f>IF(F52="","",ROUND(F52*G52,2))</f>
        <v/>
      </c>
      <c r="I52" s="6">
        <f>IF(F52="","",Config!$B$10)</f>
        <v/>
      </c>
      <c r="J52" s="11">
        <f>IF(F52="","",ROUND(F52*I52,2))</f>
        <v/>
      </c>
      <c r="K52" s="11">
        <f>IF(F52="","",F52+H52-J52)</f>
        <v/>
      </c>
      <c r="L52" s="12">
        <f>IF(A52="","",ROUNDUP(MONTH(A52)/3,0))</f>
        <v/>
      </c>
      <c r="M52" s="12">
        <f>IF(A52="","",MONTH(A52))</f>
        <v/>
      </c>
      <c r="N52" s="5" t="n"/>
    </row>
    <row r="53">
      <c r="A53" s="9" t="n"/>
      <c r="B53" s="5" t="n"/>
      <c r="C53" s="5" t="n"/>
      <c r="D53" s="5" t="n"/>
      <c r="E53" s="5" t="n"/>
      <c r="F53" s="10" t="n"/>
      <c r="G53" s="6">
        <f>IF(F53="","",Config!$B$9)</f>
        <v/>
      </c>
      <c r="H53" s="11">
        <f>IF(F53="","",ROUND(F53*G53,2))</f>
        <v/>
      </c>
      <c r="I53" s="6">
        <f>IF(F53="","",Config!$B$10)</f>
        <v/>
      </c>
      <c r="J53" s="11">
        <f>IF(F53="","",ROUND(F53*I53,2))</f>
        <v/>
      </c>
      <c r="K53" s="11">
        <f>IF(F53="","",F53+H53-J53)</f>
        <v/>
      </c>
      <c r="L53" s="12">
        <f>IF(A53="","",ROUNDUP(MONTH(A53)/3,0))</f>
        <v/>
      </c>
      <c r="M53" s="12">
        <f>IF(A53="","",MONTH(A53))</f>
        <v/>
      </c>
      <c r="N53" s="5" t="n"/>
    </row>
    <row r="54">
      <c r="A54" s="9" t="n"/>
      <c r="B54" s="5" t="n"/>
      <c r="C54" s="5" t="n"/>
      <c r="D54" s="5" t="n"/>
      <c r="E54" s="5" t="n"/>
      <c r="F54" s="10" t="n"/>
      <c r="G54" s="6">
        <f>IF(F54="","",Config!$B$9)</f>
        <v/>
      </c>
      <c r="H54" s="11">
        <f>IF(F54="","",ROUND(F54*G54,2))</f>
        <v/>
      </c>
      <c r="I54" s="6">
        <f>IF(F54="","",Config!$B$10)</f>
        <v/>
      </c>
      <c r="J54" s="11">
        <f>IF(F54="","",ROUND(F54*I54,2))</f>
        <v/>
      </c>
      <c r="K54" s="11">
        <f>IF(F54="","",F54+H54-J54)</f>
        <v/>
      </c>
      <c r="L54" s="12">
        <f>IF(A54="","",ROUNDUP(MONTH(A54)/3,0))</f>
        <v/>
      </c>
      <c r="M54" s="12">
        <f>IF(A54="","",MONTH(A54))</f>
        <v/>
      </c>
      <c r="N54" s="5" t="n"/>
    </row>
    <row r="55">
      <c r="A55" s="9" t="n"/>
      <c r="B55" s="5" t="n"/>
      <c r="C55" s="5" t="n"/>
      <c r="D55" s="5" t="n"/>
      <c r="E55" s="5" t="n"/>
      <c r="F55" s="10" t="n"/>
      <c r="G55" s="6">
        <f>IF(F55="","",Config!$B$9)</f>
        <v/>
      </c>
      <c r="H55" s="11">
        <f>IF(F55="","",ROUND(F55*G55,2))</f>
        <v/>
      </c>
      <c r="I55" s="6">
        <f>IF(F55="","",Config!$B$10)</f>
        <v/>
      </c>
      <c r="J55" s="11">
        <f>IF(F55="","",ROUND(F55*I55,2))</f>
        <v/>
      </c>
      <c r="K55" s="11">
        <f>IF(F55="","",F55+H55-J55)</f>
        <v/>
      </c>
      <c r="L55" s="12">
        <f>IF(A55="","",ROUNDUP(MONTH(A55)/3,0))</f>
        <v/>
      </c>
      <c r="M55" s="12">
        <f>IF(A55="","",MONTH(A55))</f>
        <v/>
      </c>
      <c r="N55" s="5" t="n"/>
    </row>
    <row r="56">
      <c r="A56" s="9" t="n"/>
      <c r="B56" s="5" t="n"/>
      <c r="C56" s="5" t="n"/>
      <c r="D56" s="5" t="n"/>
      <c r="E56" s="5" t="n"/>
      <c r="F56" s="10" t="n"/>
      <c r="G56" s="6">
        <f>IF(F56="","",Config!$B$9)</f>
        <v/>
      </c>
      <c r="H56" s="11">
        <f>IF(F56="","",ROUND(F56*G56,2))</f>
        <v/>
      </c>
      <c r="I56" s="6">
        <f>IF(F56="","",Config!$B$10)</f>
        <v/>
      </c>
      <c r="J56" s="11">
        <f>IF(F56="","",ROUND(F56*I56,2))</f>
        <v/>
      </c>
      <c r="K56" s="11">
        <f>IF(F56="","",F56+H56-J56)</f>
        <v/>
      </c>
      <c r="L56" s="12">
        <f>IF(A56="","",ROUNDUP(MONTH(A56)/3,0))</f>
        <v/>
      </c>
      <c r="M56" s="12">
        <f>IF(A56="","",MONTH(A56))</f>
        <v/>
      </c>
      <c r="N56" s="5" t="n"/>
    </row>
    <row r="57">
      <c r="A57" s="9" t="n"/>
      <c r="B57" s="5" t="n"/>
      <c r="C57" s="5" t="n"/>
      <c r="D57" s="5" t="n"/>
      <c r="E57" s="5" t="n"/>
      <c r="F57" s="10" t="n"/>
      <c r="G57" s="6">
        <f>IF(F57="","",Config!$B$9)</f>
        <v/>
      </c>
      <c r="H57" s="11">
        <f>IF(F57="","",ROUND(F57*G57,2))</f>
        <v/>
      </c>
      <c r="I57" s="6">
        <f>IF(F57="","",Config!$B$10)</f>
        <v/>
      </c>
      <c r="J57" s="11">
        <f>IF(F57="","",ROUND(F57*I57,2))</f>
        <v/>
      </c>
      <c r="K57" s="11">
        <f>IF(F57="","",F57+H57-J57)</f>
        <v/>
      </c>
      <c r="L57" s="12">
        <f>IF(A57="","",ROUNDUP(MONTH(A57)/3,0))</f>
        <v/>
      </c>
      <c r="M57" s="12">
        <f>IF(A57="","",MONTH(A57))</f>
        <v/>
      </c>
      <c r="N57" s="5" t="n"/>
    </row>
    <row r="58">
      <c r="A58" s="9" t="n"/>
      <c r="B58" s="5" t="n"/>
      <c r="C58" s="5" t="n"/>
      <c r="D58" s="5" t="n"/>
      <c r="E58" s="5" t="n"/>
      <c r="F58" s="10" t="n"/>
      <c r="G58" s="6">
        <f>IF(F58="","",Config!$B$9)</f>
        <v/>
      </c>
      <c r="H58" s="11">
        <f>IF(F58="","",ROUND(F58*G58,2))</f>
        <v/>
      </c>
      <c r="I58" s="6">
        <f>IF(F58="","",Config!$B$10)</f>
        <v/>
      </c>
      <c r="J58" s="11">
        <f>IF(F58="","",ROUND(F58*I58,2))</f>
        <v/>
      </c>
      <c r="K58" s="11">
        <f>IF(F58="","",F58+H58-J58)</f>
        <v/>
      </c>
      <c r="L58" s="12">
        <f>IF(A58="","",ROUNDUP(MONTH(A58)/3,0))</f>
        <v/>
      </c>
      <c r="M58" s="12">
        <f>IF(A58="","",MONTH(A58))</f>
        <v/>
      </c>
      <c r="N58" s="5" t="n"/>
    </row>
    <row r="59">
      <c r="A59" s="9" t="n"/>
      <c r="B59" s="5" t="n"/>
      <c r="C59" s="5" t="n"/>
      <c r="D59" s="5" t="n"/>
      <c r="E59" s="5" t="n"/>
      <c r="F59" s="10" t="n"/>
      <c r="G59" s="6">
        <f>IF(F59="","",Config!$B$9)</f>
        <v/>
      </c>
      <c r="H59" s="11">
        <f>IF(F59="","",ROUND(F59*G59,2))</f>
        <v/>
      </c>
      <c r="I59" s="6">
        <f>IF(F59="","",Config!$B$10)</f>
        <v/>
      </c>
      <c r="J59" s="11">
        <f>IF(F59="","",ROUND(F59*I59,2))</f>
        <v/>
      </c>
      <c r="K59" s="11">
        <f>IF(F59="","",F59+H59-J59)</f>
        <v/>
      </c>
      <c r="L59" s="12">
        <f>IF(A59="","",ROUNDUP(MONTH(A59)/3,0))</f>
        <v/>
      </c>
      <c r="M59" s="12">
        <f>IF(A59="","",MONTH(A59))</f>
        <v/>
      </c>
      <c r="N59" s="5" t="n"/>
    </row>
    <row r="60">
      <c r="A60" s="9" t="n"/>
      <c r="B60" s="5" t="n"/>
      <c r="C60" s="5" t="n"/>
      <c r="D60" s="5" t="n"/>
      <c r="E60" s="5" t="n"/>
      <c r="F60" s="10" t="n"/>
      <c r="G60" s="6">
        <f>IF(F60="","",Config!$B$9)</f>
        <v/>
      </c>
      <c r="H60" s="11">
        <f>IF(F60="","",ROUND(F60*G60,2))</f>
        <v/>
      </c>
      <c r="I60" s="6">
        <f>IF(F60="","",Config!$B$10)</f>
        <v/>
      </c>
      <c r="J60" s="11">
        <f>IF(F60="","",ROUND(F60*I60,2))</f>
        <v/>
      </c>
      <c r="K60" s="11">
        <f>IF(F60="","",F60+H60-J60)</f>
        <v/>
      </c>
      <c r="L60" s="12">
        <f>IF(A60="","",ROUNDUP(MONTH(A60)/3,0))</f>
        <v/>
      </c>
      <c r="M60" s="12">
        <f>IF(A60="","",MONTH(A60))</f>
        <v/>
      </c>
      <c r="N60" s="5" t="n"/>
    </row>
    <row r="61">
      <c r="A61" s="9" t="n"/>
      <c r="B61" s="5" t="n"/>
      <c r="C61" s="5" t="n"/>
      <c r="D61" s="5" t="n"/>
      <c r="E61" s="5" t="n"/>
      <c r="F61" s="10" t="n"/>
      <c r="G61" s="6">
        <f>IF(F61="","",Config!$B$9)</f>
        <v/>
      </c>
      <c r="H61" s="11">
        <f>IF(F61="","",ROUND(F61*G61,2))</f>
        <v/>
      </c>
      <c r="I61" s="6">
        <f>IF(F61="","",Config!$B$10)</f>
        <v/>
      </c>
      <c r="J61" s="11">
        <f>IF(F61="","",ROUND(F61*I61,2))</f>
        <v/>
      </c>
      <c r="K61" s="11">
        <f>IF(F61="","",F61+H61-J61)</f>
        <v/>
      </c>
      <c r="L61" s="12">
        <f>IF(A61="","",ROUNDUP(MONTH(A61)/3,0))</f>
        <v/>
      </c>
      <c r="M61" s="12">
        <f>IF(A61="","",MONTH(A61))</f>
        <v/>
      </c>
      <c r="N61" s="5" t="n"/>
    </row>
    <row r="62">
      <c r="A62" s="9" t="n"/>
      <c r="B62" s="5" t="n"/>
      <c r="C62" s="5" t="n"/>
      <c r="D62" s="5" t="n"/>
      <c r="E62" s="5" t="n"/>
      <c r="F62" s="10" t="n"/>
      <c r="G62" s="6">
        <f>IF(F62="","",Config!$B$9)</f>
        <v/>
      </c>
      <c r="H62" s="11">
        <f>IF(F62="","",ROUND(F62*G62,2))</f>
        <v/>
      </c>
      <c r="I62" s="6">
        <f>IF(F62="","",Config!$B$10)</f>
        <v/>
      </c>
      <c r="J62" s="11">
        <f>IF(F62="","",ROUND(F62*I62,2))</f>
        <v/>
      </c>
      <c r="K62" s="11">
        <f>IF(F62="","",F62+H62-J62)</f>
        <v/>
      </c>
      <c r="L62" s="12">
        <f>IF(A62="","",ROUNDUP(MONTH(A62)/3,0))</f>
        <v/>
      </c>
      <c r="M62" s="12">
        <f>IF(A62="","",MONTH(A62))</f>
        <v/>
      </c>
      <c r="N62" s="5" t="n"/>
    </row>
    <row r="63">
      <c r="A63" s="9" t="n"/>
      <c r="B63" s="5" t="n"/>
      <c r="C63" s="5" t="n"/>
      <c r="D63" s="5" t="n"/>
      <c r="E63" s="5" t="n"/>
      <c r="F63" s="10" t="n"/>
      <c r="G63" s="6">
        <f>IF(F63="","",Config!$B$9)</f>
        <v/>
      </c>
      <c r="H63" s="11">
        <f>IF(F63="","",ROUND(F63*G63,2))</f>
        <v/>
      </c>
      <c r="I63" s="6">
        <f>IF(F63="","",Config!$B$10)</f>
        <v/>
      </c>
      <c r="J63" s="11">
        <f>IF(F63="","",ROUND(F63*I63,2))</f>
        <v/>
      </c>
      <c r="K63" s="11">
        <f>IF(F63="","",F63+H63-J63)</f>
        <v/>
      </c>
      <c r="L63" s="12">
        <f>IF(A63="","",ROUNDUP(MONTH(A63)/3,0))</f>
        <v/>
      </c>
      <c r="M63" s="12">
        <f>IF(A63="","",MONTH(A63))</f>
        <v/>
      </c>
      <c r="N63" s="5" t="n"/>
    </row>
    <row r="64">
      <c r="A64" s="9" t="n"/>
      <c r="B64" s="5" t="n"/>
      <c r="C64" s="5" t="n"/>
      <c r="D64" s="5" t="n"/>
      <c r="E64" s="5" t="n"/>
      <c r="F64" s="10" t="n"/>
      <c r="G64" s="6">
        <f>IF(F64="","",Config!$B$9)</f>
        <v/>
      </c>
      <c r="H64" s="11">
        <f>IF(F64="","",ROUND(F64*G64,2))</f>
        <v/>
      </c>
      <c r="I64" s="6">
        <f>IF(F64="","",Config!$B$10)</f>
        <v/>
      </c>
      <c r="J64" s="11">
        <f>IF(F64="","",ROUND(F64*I64,2))</f>
        <v/>
      </c>
      <c r="K64" s="11">
        <f>IF(F64="","",F64+H64-J64)</f>
        <v/>
      </c>
      <c r="L64" s="12">
        <f>IF(A64="","",ROUNDUP(MONTH(A64)/3,0))</f>
        <v/>
      </c>
      <c r="M64" s="12">
        <f>IF(A64="","",MONTH(A64))</f>
        <v/>
      </c>
      <c r="N64" s="5" t="n"/>
    </row>
    <row r="65">
      <c r="A65" s="9" t="n"/>
      <c r="B65" s="5" t="n"/>
      <c r="C65" s="5" t="n"/>
      <c r="D65" s="5" t="n"/>
      <c r="E65" s="5" t="n"/>
      <c r="F65" s="10" t="n"/>
      <c r="G65" s="6">
        <f>IF(F65="","",Config!$B$9)</f>
        <v/>
      </c>
      <c r="H65" s="11">
        <f>IF(F65="","",ROUND(F65*G65,2))</f>
        <v/>
      </c>
      <c r="I65" s="6">
        <f>IF(F65="","",Config!$B$10)</f>
        <v/>
      </c>
      <c r="J65" s="11">
        <f>IF(F65="","",ROUND(F65*I65,2))</f>
        <v/>
      </c>
      <c r="K65" s="11">
        <f>IF(F65="","",F65+H65-J65)</f>
        <v/>
      </c>
      <c r="L65" s="12">
        <f>IF(A65="","",ROUNDUP(MONTH(A65)/3,0))</f>
        <v/>
      </c>
      <c r="M65" s="12">
        <f>IF(A65="","",MONTH(A65))</f>
        <v/>
      </c>
      <c r="N65" s="5" t="n"/>
    </row>
    <row r="66">
      <c r="A66" s="9" t="n"/>
      <c r="B66" s="5" t="n"/>
      <c r="C66" s="5" t="n"/>
      <c r="D66" s="5" t="n"/>
      <c r="E66" s="5" t="n"/>
      <c r="F66" s="10" t="n"/>
      <c r="G66" s="6">
        <f>IF(F66="","",Config!$B$9)</f>
        <v/>
      </c>
      <c r="H66" s="11">
        <f>IF(F66="","",ROUND(F66*G66,2))</f>
        <v/>
      </c>
      <c r="I66" s="6">
        <f>IF(F66="","",Config!$B$10)</f>
        <v/>
      </c>
      <c r="J66" s="11">
        <f>IF(F66="","",ROUND(F66*I66,2))</f>
        <v/>
      </c>
      <c r="K66" s="11">
        <f>IF(F66="","",F66+H66-J66)</f>
        <v/>
      </c>
      <c r="L66" s="12">
        <f>IF(A66="","",ROUNDUP(MONTH(A66)/3,0))</f>
        <v/>
      </c>
      <c r="M66" s="12">
        <f>IF(A66="","",MONTH(A66))</f>
        <v/>
      </c>
      <c r="N66" s="5" t="n"/>
    </row>
    <row r="67">
      <c r="A67" s="9" t="n"/>
      <c r="B67" s="5" t="n"/>
      <c r="C67" s="5" t="n"/>
      <c r="D67" s="5" t="n"/>
      <c r="E67" s="5" t="n"/>
      <c r="F67" s="10" t="n"/>
      <c r="G67" s="6">
        <f>IF(F67="","",Config!$B$9)</f>
        <v/>
      </c>
      <c r="H67" s="11">
        <f>IF(F67="","",ROUND(F67*G67,2))</f>
        <v/>
      </c>
      <c r="I67" s="6">
        <f>IF(F67="","",Config!$B$10)</f>
        <v/>
      </c>
      <c r="J67" s="11">
        <f>IF(F67="","",ROUND(F67*I67,2))</f>
        <v/>
      </c>
      <c r="K67" s="11">
        <f>IF(F67="","",F67+H67-J67)</f>
        <v/>
      </c>
      <c r="L67" s="12">
        <f>IF(A67="","",ROUNDUP(MONTH(A67)/3,0))</f>
        <v/>
      </c>
      <c r="M67" s="12">
        <f>IF(A67="","",MONTH(A67))</f>
        <v/>
      </c>
      <c r="N67" s="5" t="n"/>
    </row>
    <row r="68">
      <c r="A68" s="9" t="n"/>
      <c r="B68" s="5" t="n"/>
      <c r="C68" s="5" t="n"/>
      <c r="D68" s="5" t="n"/>
      <c r="E68" s="5" t="n"/>
      <c r="F68" s="10" t="n"/>
      <c r="G68" s="6">
        <f>IF(F68="","",Config!$B$9)</f>
        <v/>
      </c>
      <c r="H68" s="11">
        <f>IF(F68="","",ROUND(F68*G68,2))</f>
        <v/>
      </c>
      <c r="I68" s="6">
        <f>IF(F68="","",Config!$B$10)</f>
        <v/>
      </c>
      <c r="J68" s="11">
        <f>IF(F68="","",ROUND(F68*I68,2))</f>
        <v/>
      </c>
      <c r="K68" s="11">
        <f>IF(F68="","",F68+H68-J68)</f>
        <v/>
      </c>
      <c r="L68" s="12">
        <f>IF(A68="","",ROUNDUP(MONTH(A68)/3,0))</f>
        <v/>
      </c>
      <c r="M68" s="12">
        <f>IF(A68="","",MONTH(A68))</f>
        <v/>
      </c>
      <c r="N68" s="5" t="n"/>
    </row>
    <row r="69">
      <c r="A69" s="9" t="n"/>
      <c r="B69" s="5" t="n"/>
      <c r="C69" s="5" t="n"/>
      <c r="D69" s="5" t="n"/>
      <c r="E69" s="5" t="n"/>
      <c r="F69" s="10" t="n"/>
      <c r="G69" s="6">
        <f>IF(F69="","",Config!$B$9)</f>
        <v/>
      </c>
      <c r="H69" s="11">
        <f>IF(F69="","",ROUND(F69*G69,2))</f>
        <v/>
      </c>
      <c r="I69" s="6">
        <f>IF(F69="","",Config!$B$10)</f>
        <v/>
      </c>
      <c r="J69" s="11">
        <f>IF(F69="","",ROUND(F69*I69,2))</f>
        <v/>
      </c>
      <c r="K69" s="11">
        <f>IF(F69="","",F69+H69-J69)</f>
        <v/>
      </c>
      <c r="L69" s="12">
        <f>IF(A69="","",ROUNDUP(MONTH(A69)/3,0))</f>
        <v/>
      </c>
      <c r="M69" s="12">
        <f>IF(A69="","",MONTH(A69))</f>
        <v/>
      </c>
      <c r="N69" s="5" t="n"/>
    </row>
    <row r="70">
      <c r="A70" s="9" t="n"/>
      <c r="B70" s="5" t="n"/>
      <c r="C70" s="5" t="n"/>
      <c r="D70" s="5" t="n"/>
      <c r="E70" s="5" t="n"/>
      <c r="F70" s="10" t="n"/>
      <c r="G70" s="6">
        <f>IF(F70="","",Config!$B$9)</f>
        <v/>
      </c>
      <c r="H70" s="11">
        <f>IF(F70="","",ROUND(F70*G70,2))</f>
        <v/>
      </c>
      <c r="I70" s="6">
        <f>IF(F70="","",Config!$B$10)</f>
        <v/>
      </c>
      <c r="J70" s="11">
        <f>IF(F70="","",ROUND(F70*I70,2))</f>
        <v/>
      </c>
      <c r="K70" s="11">
        <f>IF(F70="","",F70+H70-J70)</f>
        <v/>
      </c>
      <c r="L70" s="12">
        <f>IF(A70="","",ROUNDUP(MONTH(A70)/3,0))</f>
        <v/>
      </c>
      <c r="M70" s="12">
        <f>IF(A70="","",MONTH(A70))</f>
        <v/>
      </c>
      <c r="N70" s="5" t="n"/>
    </row>
    <row r="71">
      <c r="A71" s="9" t="n"/>
      <c r="B71" s="5" t="n"/>
      <c r="C71" s="5" t="n"/>
      <c r="D71" s="5" t="n"/>
      <c r="E71" s="5" t="n"/>
      <c r="F71" s="10" t="n"/>
      <c r="G71" s="6">
        <f>IF(F71="","",Config!$B$9)</f>
        <v/>
      </c>
      <c r="H71" s="11">
        <f>IF(F71="","",ROUND(F71*G71,2))</f>
        <v/>
      </c>
      <c r="I71" s="6">
        <f>IF(F71="","",Config!$B$10)</f>
        <v/>
      </c>
      <c r="J71" s="11">
        <f>IF(F71="","",ROUND(F71*I71,2))</f>
        <v/>
      </c>
      <c r="K71" s="11">
        <f>IF(F71="","",F71+H71-J71)</f>
        <v/>
      </c>
      <c r="L71" s="12">
        <f>IF(A71="","",ROUNDUP(MONTH(A71)/3,0))</f>
        <v/>
      </c>
      <c r="M71" s="12">
        <f>IF(A71="","",MONTH(A71))</f>
        <v/>
      </c>
      <c r="N71" s="5" t="n"/>
    </row>
    <row r="72">
      <c r="A72" s="9" t="n"/>
      <c r="B72" s="5" t="n"/>
      <c r="C72" s="5" t="n"/>
      <c r="D72" s="5" t="n"/>
      <c r="E72" s="5" t="n"/>
      <c r="F72" s="10" t="n"/>
      <c r="G72" s="6">
        <f>IF(F72="","",Config!$B$9)</f>
        <v/>
      </c>
      <c r="H72" s="11">
        <f>IF(F72="","",ROUND(F72*G72,2))</f>
        <v/>
      </c>
      <c r="I72" s="6">
        <f>IF(F72="","",Config!$B$10)</f>
        <v/>
      </c>
      <c r="J72" s="11">
        <f>IF(F72="","",ROUND(F72*I72,2))</f>
        <v/>
      </c>
      <c r="K72" s="11">
        <f>IF(F72="","",F72+H72-J72)</f>
        <v/>
      </c>
      <c r="L72" s="12">
        <f>IF(A72="","",ROUNDUP(MONTH(A72)/3,0))</f>
        <v/>
      </c>
      <c r="M72" s="12">
        <f>IF(A72="","",MONTH(A72))</f>
        <v/>
      </c>
      <c r="N72" s="5" t="n"/>
    </row>
    <row r="73">
      <c r="A73" s="9" t="n"/>
      <c r="B73" s="5" t="n"/>
      <c r="C73" s="5" t="n"/>
      <c r="D73" s="5" t="n"/>
      <c r="E73" s="5" t="n"/>
      <c r="F73" s="10" t="n"/>
      <c r="G73" s="6">
        <f>IF(F73="","",Config!$B$9)</f>
        <v/>
      </c>
      <c r="H73" s="11">
        <f>IF(F73="","",ROUND(F73*G73,2))</f>
        <v/>
      </c>
      <c r="I73" s="6">
        <f>IF(F73="","",Config!$B$10)</f>
        <v/>
      </c>
      <c r="J73" s="11">
        <f>IF(F73="","",ROUND(F73*I73,2))</f>
        <v/>
      </c>
      <c r="K73" s="11">
        <f>IF(F73="","",F73+H73-J73)</f>
        <v/>
      </c>
      <c r="L73" s="12">
        <f>IF(A73="","",ROUNDUP(MONTH(A73)/3,0))</f>
        <v/>
      </c>
      <c r="M73" s="12">
        <f>IF(A73="","",MONTH(A73))</f>
        <v/>
      </c>
      <c r="N73" s="5" t="n"/>
    </row>
    <row r="74">
      <c r="A74" s="9" t="n"/>
      <c r="B74" s="5" t="n"/>
      <c r="C74" s="5" t="n"/>
      <c r="D74" s="5" t="n"/>
      <c r="E74" s="5" t="n"/>
      <c r="F74" s="10" t="n"/>
      <c r="G74" s="6">
        <f>IF(F74="","",Config!$B$9)</f>
        <v/>
      </c>
      <c r="H74" s="11">
        <f>IF(F74="","",ROUND(F74*G74,2))</f>
        <v/>
      </c>
      <c r="I74" s="6">
        <f>IF(F74="","",Config!$B$10)</f>
        <v/>
      </c>
      <c r="J74" s="11">
        <f>IF(F74="","",ROUND(F74*I74,2))</f>
        <v/>
      </c>
      <c r="K74" s="11">
        <f>IF(F74="","",F74+H74-J74)</f>
        <v/>
      </c>
      <c r="L74" s="12">
        <f>IF(A74="","",ROUNDUP(MONTH(A74)/3,0))</f>
        <v/>
      </c>
      <c r="M74" s="12">
        <f>IF(A74="","",MONTH(A74))</f>
        <v/>
      </c>
      <c r="N74" s="5" t="n"/>
    </row>
    <row r="75">
      <c r="A75" s="9" t="n"/>
      <c r="B75" s="5" t="n"/>
      <c r="C75" s="5" t="n"/>
      <c r="D75" s="5" t="n"/>
      <c r="E75" s="5" t="n"/>
      <c r="F75" s="10" t="n"/>
      <c r="G75" s="6">
        <f>IF(F75="","",Config!$B$9)</f>
        <v/>
      </c>
      <c r="H75" s="11">
        <f>IF(F75="","",ROUND(F75*G75,2))</f>
        <v/>
      </c>
      <c r="I75" s="6">
        <f>IF(F75="","",Config!$B$10)</f>
        <v/>
      </c>
      <c r="J75" s="11">
        <f>IF(F75="","",ROUND(F75*I75,2))</f>
        <v/>
      </c>
      <c r="K75" s="11">
        <f>IF(F75="","",F75+H75-J75)</f>
        <v/>
      </c>
      <c r="L75" s="12">
        <f>IF(A75="","",ROUNDUP(MONTH(A75)/3,0))</f>
        <v/>
      </c>
      <c r="M75" s="12">
        <f>IF(A75="","",MONTH(A75))</f>
        <v/>
      </c>
      <c r="N75" s="5" t="n"/>
    </row>
    <row r="76">
      <c r="A76" s="9" t="n"/>
      <c r="B76" s="5" t="n"/>
      <c r="C76" s="5" t="n"/>
      <c r="D76" s="5" t="n"/>
      <c r="E76" s="5" t="n"/>
      <c r="F76" s="10" t="n"/>
      <c r="G76" s="6">
        <f>IF(F76="","",Config!$B$9)</f>
        <v/>
      </c>
      <c r="H76" s="11">
        <f>IF(F76="","",ROUND(F76*G76,2))</f>
        <v/>
      </c>
      <c r="I76" s="6">
        <f>IF(F76="","",Config!$B$10)</f>
        <v/>
      </c>
      <c r="J76" s="11">
        <f>IF(F76="","",ROUND(F76*I76,2))</f>
        <v/>
      </c>
      <c r="K76" s="11">
        <f>IF(F76="","",F76+H76-J76)</f>
        <v/>
      </c>
      <c r="L76" s="12">
        <f>IF(A76="","",ROUNDUP(MONTH(A76)/3,0))</f>
        <v/>
      </c>
      <c r="M76" s="12">
        <f>IF(A76="","",MONTH(A76))</f>
        <v/>
      </c>
      <c r="N76" s="5" t="n"/>
    </row>
    <row r="77">
      <c r="A77" s="9" t="n"/>
      <c r="B77" s="5" t="n"/>
      <c r="C77" s="5" t="n"/>
      <c r="D77" s="5" t="n"/>
      <c r="E77" s="5" t="n"/>
      <c r="F77" s="10" t="n"/>
      <c r="G77" s="6">
        <f>IF(F77="","",Config!$B$9)</f>
        <v/>
      </c>
      <c r="H77" s="11">
        <f>IF(F77="","",ROUND(F77*G77,2))</f>
        <v/>
      </c>
      <c r="I77" s="6">
        <f>IF(F77="","",Config!$B$10)</f>
        <v/>
      </c>
      <c r="J77" s="11">
        <f>IF(F77="","",ROUND(F77*I77,2))</f>
        <v/>
      </c>
      <c r="K77" s="11">
        <f>IF(F77="","",F77+H77-J77)</f>
        <v/>
      </c>
      <c r="L77" s="12">
        <f>IF(A77="","",ROUNDUP(MONTH(A77)/3,0))</f>
        <v/>
      </c>
      <c r="M77" s="12">
        <f>IF(A77="","",MONTH(A77))</f>
        <v/>
      </c>
      <c r="N77" s="5" t="n"/>
    </row>
    <row r="78">
      <c r="A78" s="9" t="n"/>
      <c r="B78" s="5" t="n"/>
      <c r="C78" s="5" t="n"/>
      <c r="D78" s="5" t="n"/>
      <c r="E78" s="5" t="n"/>
      <c r="F78" s="10" t="n"/>
      <c r="G78" s="6">
        <f>IF(F78="","",Config!$B$9)</f>
        <v/>
      </c>
      <c r="H78" s="11">
        <f>IF(F78="","",ROUND(F78*G78,2))</f>
        <v/>
      </c>
      <c r="I78" s="6">
        <f>IF(F78="","",Config!$B$10)</f>
        <v/>
      </c>
      <c r="J78" s="11">
        <f>IF(F78="","",ROUND(F78*I78,2))</f>
        <v/>
      </c>
      <c r="K78" s="11">
        <f>IF(F78="","",F78+H78-J78)</f>
        <v/>
      </c>
      <c r="L78" s="12">
        <f>IF(A78="","",ROUNDUP(MONTH(A78)/3,0))</f>
        <v/>
      </c>
      <c r="M78" s="12">
        <f>IF(A78="","",MONTH(A78))</f>
        <v/>
      </c>
      <c r="N78" s="5" t="n"/>
    </row>
    <row r="79">
      <c r="A79" s="9" t="n"/>
      <c r="B79" s="5" t="n"/>
      <c r="C79" s="5" t="n"/>
      <c r="D79" s="5" t="n"/>
      <c r="E79" s="5" t="n"/>
      <c r="F79" s="10" t="n"/>
      <c r="G79" s="6">
        <f>IF(F79="","",Config!$B$9)</f>
        <v/>
      </c>
      <c r="H79" s="11">
        <f>IF(F79="","",ROUND(F79*G79,2))</f>
        <v/>
      </c>
      <c r="I79" s="6">
        <f>IF(F79="","",Config!$B$10)</f>
        <v/>
      </c>
      <c r="J79" s="11">
        <f>IF(F79="","",ROUND(F79*I79,2))</f>
        <v/>
      </c>
      <c r="K79" s="11">
        <f>IF(F79="","",F79+H79-J79)</f>
        <v/>
      </c>
      <c r="L79" s="12">
        <f>IF(A79="","",ROUNDUP(MONTH(A79)/3,0))</f>
        <v/>
      </c>
      <c r="M79" s="12">
        <f>IF(A79="","",MONTH(A79))</f>
        <v/>
      </c>
      <c r="N79" s="5" t="n"/>
    </row>
    <row r="80">
      <c r="A80" s="9" t="n"/>
      <c r="B80" s="5" t="n"/>
      <c r="C80" s="5" t="n"/>
      <c r="D80" s="5" t="n"/>
      <c r="E80" s="5" t="n"/>
      <c r="F80" s="10" t="n"/>
      <c r="G80" s="6">
        <f>IF(F80="","",Config!$B$9)</f>
        <v/>
      </c>
      <c r="H80" s="11">
        <f>IF(F80="","",ROUND(F80*G80,2))</f>
        <v/>
      </c>
      <c r="I80" s="6">
        <f>IF(F80="","",Config!$B$10)</f>
        <v/>
      </c>
      <c r="J80" s="11">
        <f>IF(F80="","",ROUND(F80*I80,2))</f>
        <v/>
      </c>
      <c r="K80" s="11">
        <f>IF(F80="","",F80+H80-J80)</f>
        <v/>
      </c>
      <c r="L80" s="12">
        <f>IF(A80="","",ROUNDUP(MONTH(A80)/3,0))</f>
        <v/>
      </c>
      <c r="M80" s="12">
        <f>IF(A80="","",MONTH(A80))</f>
        <v/>
      </c>
      <c r="N80" s="5" t="n"/>
    </row>
    <row r="81">
      <c r="A81" s="9" t="n"/>
      <c r="B81" s="5" t="n"/>
      <c r="C81" s="5" t="n"/>
      <c r="D81" s="5" t="n"/>
      <c r="E81" s="5" t="n"/>
      <c r="F81" s="10" t="n"/>
      <c r="G81" s="6">
        <f>IF(F81="","",Config!$B$9)</f>
        <v/>
      </c>
      <c r="H81" s="11">
        <f>IF(F81="","",ROUND(F81*G81,2))</f>
        <v/>
      </c>
      <c r="I81" s="6">
        <f>IF(F81="","",Config!$B$10)</f>
        <v/>
      </c>
      <c r="J81" s="11">
        <f>IF(F81="","",ROUND(F81*I81,2))</f>
        <v/>
      </c>
      <c r="K81" s="11">
        <f>IF(F81="","",F81+H81-J81)</f>
        <v/>
      </c>
      <c r="L81" s="12">
        <f>IF(A81="","",ROUNDUP(MONTH(A81)/3,0))</f>
        <v/>
      </c>
      <c r="M81" s="12">
        <f>IF(A81="","",MONTH(A81))</f>
        <v/>
      </c>
      <c r="N81" s="5" t="n"/>
    </row>
    <row r="82">
      <c r="A82" s="9" t="n"/>
      <c r="B82" s="5" t="n"/>
      <c r="C82" s="5" t="n"/>
      <c r="D82" s="5" t="n"/>
      <c r="E82" s="5" t="n"/>
      <c r="F82" s="10" t="n"/>
      <c r="G82" s="6">
        <f>IF(F82="","",Config!$B$9)</f>
        <v/>
      </c>
      <c r="H82" s="11">
        <f>IF(F82="","",ROUND(F82*G82,2))</f>
        <v/>
      </c>
      <c r="I82" s="6">
        <f>IF(F82="","",Config!$B$10)</f>
        <v/>
      </c>
      <c r="J82" s="11">
        <f>IF(F82="","",ROUND(F82*I82,2))</f>
        <v/>
      </c>
      <c r="K82" s="11">
        <f>IF(F82="","",F82+H82-J82)</f>
        <v/>
      </c>
      <c r="L82" s="12">
        <f>IF(A82="","",ROUNDUP(MONTH(A82)/3,0))</f>
        <v/>
      </c>
      <c r="M82" s="12">
        <f>IF(A82="","",MONTH(A82))</f>
        <v/>
      </c>
      <c r="N82" s="5" t="n"/>
    </row>
    <row r="83">
      <c r="A83" s="9" t="n"/>
      <c r="B83" s="5" t="n"/>
      <c r="C83" s="5" t="n"/>
      <c r="D83" s="5" t="n"/>
      <c r="E83" s="5" t="n"/>
      <c r="F83" s="10" t="n"/>
      <c r="G83" s="6">
        <f>IF(F83="","",Config!$B$9)</f>
        <v/>
      </c>
      <c r="H83" s="11">
        <f>IF(F83="","",ROUND(F83*G83,2))</f>
        <v/>
      </c>
      <c r="I83" s="6">
        <f>IF(F83="","",Config!$B$10)</f>
        <v/>
      </c>
      <c r="J83" s="11">
        <f>IF(F83="","",ROUND(F83*I83,2))</f>
        <v/>
      </c>
      <c r="K83" s="11">
        <f>IF(F83="","",F83+H83-J83)</f>
        <v/>
      </c>
      <c r="L83" s="12">
        <f>IF(A83="","",ROUNDUP(MONTH(A83)/3,0))</f>
        <v/>
      </c>
      <c r="M83" s="12">
        <f>IF(A83="","",MONTH(A83))</f>
        <v/>
      </c>
      <c r="N83" s="5" t="n"/>
    </row>
    <row r="84">
      <c r="A84" s="9" t="n"/>
      <c r="B84" s="5" t="n"/>
      <c r="C84" s="5" t="n"/>
      <c r="D84" s="5" t="n"/>
      <c r="E84" s="5" t="n"/>
      <c r="F84" s="10" t="n"/>
      <c r="G84" s="6">
        <f>IF(F84="","",Config!$B$9)</f>
        <v/>
      </c>
      <c r="H84" s="11">
        <f>IF(F84="","",ROUND(F84*G84,2))</f>
        <v/>
      </c>
      <c r="I84" s="6">
        <f>IF(F84="","",Config!$B$10)</f>
        <v/>
      </c>
      <c r="J84" s="11">
        <f>IF(F84="","",ROUND(F84*I84,2))</f>
        <v/>
      </c>
      <c r="K84" s="11">
        <f>IF(F84="","",F84+H84-J84)</f>
        <v/>
      </c>
      <c r="L84" s="12">
        <f>IF(A84="","",ROUNDUP(MONTH(A84)/3,0))</f>
        <v/>
      </c>
      <c r="M84" s="12">
        <f>IF(A84="","",MONTH(A84))</f>
        <v/>
      </c>
      <c r="N84" s="5" t="n"/>
    </row>
    <row r="85">
      <c r="A85" s="9" t="n"/>
      <c r="B85" s="5" t="n"/>
      <c r="C85" s="5" t="n"/>
      <c r="D85" s="5" t="n"/>
      <c r="E85" s="5" t="n"/>
      <c r="F85" s="10" t="n"/>
      <c r="G85" s="6">
        <f>IF(F85="","",Config!$B$9)</f>
        <v/>
      </c>
      <c r="H85" s="11">
        <f>IF(F85="","",ROUND(F85*G85,2))</f>
        <v/>
      </c>
      <c r="I85" s="6">
        <f>IF(F85="","",Config!$B$10)</f>
        <v/>
      </c>
      <c r="J85" s="11">
        <f>IF(F85="","",ROUND(F85*I85,2))</f>
        <v/>
      </c>
      <c r="K85" s="11">
        <f>IF(F85="","",F85+H85-J85)</f>
        <v/>
      </c>
      <c r="L85" s="12">
        <f>IF(A85="","",ROUNDUP(MONTH(A85)/3,0))</f>
        <v/>
      </c>
      <c r="M85" s="12">
        <f>IF(A85="","",MONTH(A85))</f>
        <v/>
      </c>
      <c r="N85" s="5" t="n"/>
    </row>
    <row r="86">
      <c r="A86" s="9" t="n"/>
      <c r="B86" s="5" t="n"/>
      <c r="C86" s="5" t="n"/>
      <c r="D86" s="5" t="n"/>
      <c r="E86" s="5" t="n"/>
      <c r="F86" s="10" t="n"/>
      <c r="G86" s="6">
        <f>IF(F86="","",Config!$B$9)</f>
        <v/>
      </c>
      <c r="H86" s="11">
        <f>IF(F86="","",ROUND(F86*G86,2))</f>
        <v/>
      </c>
      <c r="I86" s="6">
        <f>IF(F86="","",Config!$B$10)</f>
        <v/>
      </c>
      <c r="J86" s="11">
        <f>IF(F86="","",ROUND(F86*I86,2))</f>
        <v/>
      </c>
      <c r="K86" s="11">
        <f>IF(F86="","",F86+H86-J86)</f>
        <v/>
      </c>
      <c r="L86" s="12">
        <f>IF(A86="","",ROUNDUP(MONTH(A86)/3,0))</f>
        <v/>
      </c>
      <c r="M86" s="12">
        <f>IF(A86="","",MONTH(A86))</f>
        <v/>
      </c>
      <c r="N86" s="5" t="n"/>
    </row>
    <row r="87">
      <c r="A87" s="9" t="n"/>
      <c r="B87" s="5" t="n"/>
      <c r="C87" s="5" t="n"/>
      <c r="D87" s="5" t="n"/>
      <c r="E87" s="5" t="n"/>
      <c r="F87" s="10" t="n"/>
      <c r="G87" s="6">
        <f>IF(F87="","",Config!$B$9)</f>
        <v/>
      </c>
      <c r="H87" s="11">
        <f>IF(F87="","",ROUND(F87*G87,2))</f>
        <v/>
      </c>
      <c r="I87" s="6">
        <f>IF(F87="","",Config!$B$10)</f>
        <v/>
      </c>
      <c r="J87" s="11">
        <f>IF(F87="","",ROUND(F87*I87,2))</f>
        <v/>
      </c>
      <c r="K87" s="11">
        <f>IF(F87="","",F87+H87-J87)</f>
        <v/>
      </c>
      <c r="L87" s="12">
        <f>IF(A87="","",ROUNDUP(MONTH(A87)/3,0))</f>
        <v/>
      </c>
      <c r="M87" s="12">
        <f>IF(A87="","",MONTH(A87))</f>
        <v/>
      </c>
      <c r="N87" s="5" t="n"/>
    </row>
    <row r="88">
      <c r="A88" s="9" t="n"/>
      <c r="B88" s="5" t="n"/>
      <c r="C88" s="5" t="n"/>
      <c r="D88" s="5" t="n"/>
      <c r="E88" s="5" t="n"/>
      <c r="F88" s="10" t="n"/>
      <c r="G88" s="6">
        <f>IF(F88="","",Config!$B$9)</f>
        <v/>
      </c>
      <c r="H88" s="11">
        <f>IF(F88="","",ROUND(F88*G88,2))</f>
        <v/>
      </c>
      <c r="I88" s="6">
        <f>IF(F88="","",Config!$B$10)</f>
        <v/>
      </c>
      <c r="J88" s="11">
        <f>IF(F88="","",ROUND(F88*I88,2))</f>
        <v/>
      </c>
      <c r="K88" s="11">
        <f>IF(F88="","",F88+H88-J88)</f>
        <v/>
      </c>
      <c r="L88" s="12">
        <f>IF(A88="","",ROUNDUP(MONTH(A88)/3,0))</f>
        <v/>
      </c>
      <c r="M88" s="12">
        <f>IF(A88="","",MONTH(A88))</f>
        <v/>
      </c>
      <c r="N88" s="5" t="n"/>
    </row>
    <row r="89">
      <c r="A89" s="9" t="n"/>
      <c r="B89" s="5" t="n"/>
      <c r="C89" s="5" t="n"/>
      <c r="D89" s="5" t="n"/>
      <c r="E89" s="5" t="n"/>
      <c r="F89" s="10" t="n"/>
      <c r="G89" s="6">
        <f>IF(F89="","",Config!$B$9)</f>
        <v/>
      </c>
      <c r="H89" s="11">
        <f>IF(F89="","",ROUND(F89*G89,2))</f>
        <v/>
      </c>
      <c r="I89" s="6">
        <f>IF(F89="","",Config!$B$10)</f>
        <v/>
      </c>
      <c r="J89" s="11">
        <f>IF(F89="","",ROUND(F89*I89,2))</f>
        <v/>
      </c>
      <c r="K89" s="11">
        <f>IF(F89="","",F89+H89-J89)</f>
        <v/>
      </c>
      <c r="L89" s="12">
        <f>IF(A89="","",ROUNDUP(MONTH(A89)/3,0))</f>
        <v/>
      </c>
      <c r="M89" s="12">
        <f>IF(A89="","",MONTH(A89))</f>
        <v/>
      </c>
      <c r="N89" s="5" t="n"/>
    </row>
    <row r="90">
      <c r="A90" s="9" t="n"/>
      <c r="B90" s="5" t="n"/>
      <c r="C90" s="5" t="n"/>
      <c r="D90" s="5" t="n"/>
      <c r="E90" s="5" t="n"/>
      <c r="F90" s="10" t="n"/>
      <c r="G90" s="6">
        <f>IF(F90="","",Config!$B$9)</f>
        <v/>
      </c>
      <c r="H90" s="11">
        <f>IF(F90="","",ROUND(F90*G90,2))</f>
        <v/>
      </c>
      <c r="I90" s="6">
        <f>IF(F90="","",Config!$B$10)</f>
        <v/>
      </c>
      <c r="J90" s="11">
        <f>IF(F90="","",ROUND(F90*I90,2))</f>
        <v/>
      </c>
      <c r="K90" s="11">
        <f>IF(F90="","",F90+H90-J90)</f>
        <v/>
      </c>
      <c r="L90" s="12">
        <f>IF(A90="","",ROUNDUP(MONTH(A90)/3,0))</f>
        <v/>
      </c>
      <c r="M90" s="12">
        <f>IF(A90="","",MONTH(A90))</f>
        <v/>
      </c>
      <c r="N90" s="5" t="n"/>
    </row>
    <row r="91">
      <c r="A91" s="9" t="n"/>
      <c r="B91" s="5" t="n"/>
      <c r="C91" s="5" t="n"/>
      <c r="D91" s="5" t="n"/>
      <c r="E91" s="5" t="n"/>
      <c r="F91" s="10" t="n"/>
      <c r="G91" s="6">
        <f>IF(F91="","",Config!$B$9)</f>
        <v/>
      </c>
      <c r="H91" s="11">
        <f>IF(F91="","",ROUND(F91*G91,2))</f>
        <v/>
      </c>
      <c r="I91" s="6">
        <f>IF(F91="","",Config!$B$10)</f>
        <v/>
      </c>
      <c r="J91" s="11">
        <f>IF(F91="","",ROUND(F91*I91,2))</f>
        <v/>
      </c>
      <c r="K91" s="11">
        <f>IF(F91="","",F91+H91-J91)</f>
        <v/>
      </c>
      <c r="L91" s="12">
        <f>IF(A91="","",ROUNDUP(MONTH(A91)/3,0))</f>
        <v/>
      </c>
      <c r="M91" s="12">
        <f>IF(A91="","",MONTH(A91))</f>
        <v/>
      </c>
      <c r="N91" s="5" t="n"/>
    </row>
    <row r="92">
      <c r="A92" s="9" t="n"/>
      <c r="B92" s="5" t="n"/>
      <c r="C92" s="5" t="n"/>
      <c r="D92" s="5" t="n"/>
      <c r="E92" s="5" t="n"/>
      <c r="F92" s="10" t="n"/>
      <c r="G92" s="6">
        <f>IF(F92="","",Config!$B$9)</f>
        <v/>
      </c>
      <c r="H92" s="11">
        <f>IF(F92="","",ROUND(F92*G92,2))</f>
        <v/>
      </c>
      <c r="I92" s="6">
        <f>IF(F92="","",Config!$B$10)</f>
        <v/>
      </c>
      <c r="J92" s="11">
        <f>IF(F92="","",ROUND(F92*I92,2))</f>
        <v/>
      </c>
      <c r="K92" s="11">
        <f>IF(F92="","",F92+H92-J92)</f>
        <v/>
      </c>
      <c r="L92" s="12">
        <f>IF(A92="","",ROUNDUP(MONTH(A92)/3,0))</f>
        <v/>
      </c>
      <c r="M92" s="12">
        <f>IF(A92="","",MONTH(A92))</f>
        <v/>
      </c>
      <c r="N92" s="5" t="n"/>
    </row>
    <row r="93">
      <c r="A93" s="9" t="n"/>
      <c r="B93" s="5" t="n"/>
      <c r="C93" s="5" t="n"/>
      <c r="D93" s="5" t="n"/>
      <c r="E93" s="5" t="n"/>
      <c r="F93" s="10" t="n"/>
      <c r="G93" s="6">
        <f>IF(F93="","",Config!$B$9)</f>
        <v/>
      </c>
      <c r="H93" s="11">
        <f>IF(F93="","",ROUND(F93*G93,2))</f>
        <v/>
      </c>
      <c r="I93" s="6">
        <f>IF(F93="","",Config!$B$10)</f>
        <v/>
      </c>
      <c r="J93" s="11">
        <f>IF(F93="","",ROUND(F93*I93,2))</f>
        <v/>
      </c>
      <c r="K93" s="11">
        <f>IF(F93="","",F93+H93-J93)</f>
        <v/>
      </c>
      <c r="L93" s="12">
        <f>IF(A93="","",ROUNDUP(MONTH(A93)/3,0))</f>
        <v/>
      </c>
      <c r="M93" s="12">
        <f>IF(A93="","",MONTH(A93))</f>
        <v/>
      </c>
      <c r="N93" s="5" t="n"/>
    </row>
    <row r="94">
      <c r="A94" s="9" t="n"/>
      <c r="B94" s="5" t="n"/>
      <c r="C94" s="5" t="n"/>
      <c r="D94" s="5" t="n"/>
      <c r="E94" s="5" t="n"/>
      <c r="F94" s="10" t="n"/>
      <c r="G94" s="6">
        <f>IF(F94="","",Config!$B$9)</f>
        <v/>
      </c>
      <c r="H94" s="11">
        <f>IF(F94="","",ROUND(F94*G94,2))</f>
        <v/>
      </c>
      <c r="I94" s="6">
        <f>IF(F94="","",Config!$B$10)</f>
        <v/>
      </c>
      <c r="J94" s="11">
        <f>IF(F94="","",ROUND(F94*I94,2))</f>
        <v/>
      </c>
      <c r="K94" s="11">
        <f>IF(F94="","",F94+H94-J94)</f>
        <v/>
      </c>
      <c r="L94" s="12">
        <f>IF(A94="","",ROUNDUP(MONTH(A94)/3,0))</f>
        <v/>
      </c>
      <c r="M94" s="12">
        <f>IF(A94="","",MONTH(A94))</f>
        <v/>
      </c>
      <c r="N94" s="5" t="n"/>
    </row>
    <row r="95">
      <c r="A95" s="9" t="n"/>
      <c r="B95" s="5" t="n"/>
      <c r="C95" s="5" t="n"/>
      <c r="D95" s="5" t="n"/>
      <c r="E95" s="5" t="n"/>
      <c r="F95" s="10" t="n"/>
      <c r="G95" s="6">
        <f>IF(F95="","",Config!$B$9)</f>
        <v/>
      </c>
      <c r="H95" s="11">
        <f>IF(F95="","",ROUND(F95*G95,2))</f>
        <v/>
      </c>
      <c r="I95" s="6">
        <f>IF(F95="","",Config!$B$10)</f>
        <v/>
      </c>
      <c r="J95" s="11">
        <f>IF(F95="","",ROUND(F95*I95,2))</f>
        <v/>
      </c>
      <c r="K95" s="11">
        <f>IF(F95="","",F95+H95-J95)</f>
        <v/>
      </c>
      <c r="L95" s="12">
        <f>IF(A95="","",ROUNDUP(MONTH(A95)/3,0))</f>
        <v/>
      </c>
      <c r="M95" s="12">
        <f>IF(A95="","",MONTH(A95))</f>
        <v/>
      </c>
      <c r="N95" s="5" t="n"/>
    </row>
    <row r="96">
      <c r="A96" s="9" t="n"/>
      <c r="B96" s="5" t="n"/>
      <c r="C96" s="5" t="n"/>
      <c r="D96" s="5" t="n"/>
      <c r="E96" s="5" t="n"/>
      <c r="F96" s="10" t="n"/>
      <c r="G96" s="6">
        <f>IF(F96="","",Config!$B$9)</f>
        <v/>
      </c>
      <c r="H96" s="11">
        <f>IF(F96="","",ROUND(F96*G96,2))</f>
        <v/>
      </c>
      <c r="I96" s="6">
        <f>IF(F96="","",Config!$B$10)</f>
        <v/>
      </c>
      <c r="J96" s="11">
        <f>IF(F96="","",ROUND(F96*I96,2))</f>
        <v/>
      </c>
      <c r="K96" s="11">
        <f>IF(F96="","",F96+H96-J96)</f>
        <v/>
      </c>
      <c r="L96" s="12">
        <f>IF(A96="","",ROUNDUP(MONTH(A96)/3,0))</f>
        <v/>
      </c>
      <c r="M96" s="12">
        <f>IF(A96="","",MONTH(A96))</f>
        <v/>
      </c>
      <c r="N96" s="5" t="n"/>
    </row>
    <row r="97">
      <c r="A97" s="9" t="n"/>
      <c r="B97" s="5" t="n"/>
      <c r="C97" s="5" t="n"/>
      <c r="D97" s="5" t="n"/>
      <c r="E97" s="5" t="n"/>
      <c r="F97" s="10" t="n"/>
      <c r="G97" s="6">
        <f>IF(F97="","",Config!$B$9)</f>
        <v/>
      </c>
      <c r="H97" s="11">
        <f>IF(F97="","",ROUND(F97*G97,2))</f>
        <v/>
      </c>
      <c r="I97" s="6">
        <f>IF(F97="","",Config!$B$10)</f>
        <v/>
      </c>
      <c r="J97" s="11">
        <f>IF(F97="","",ROUND(F97*I97,2))</f>
        <v/>
      </c>
      <c r="K97" s="11">
        <f>IF(F97="","",F97+H97-J97)</f>
        <v/>
      </c>
      <c r="L97" s="12">
        <f>IF(A97="","",ROUNDUP(MONTH(A97)/3,0))</f>
        <v/>
      </c>
      <c r="M97" s="12">
        <f>IF(A97="","",MONTH(A97))</f>
        <v/>
      </c>
      <c r="N97" s="5" t="n"/>
    </row>
    <row r="98">
      <c r="A98" s="9" t="n"/>
      <c r="B98" s="5" t="n"/>
      <c r="C98" s="5" t="n"/>
      <c r="D98" s="5" t="n"/>
      <c r="E98" s="5" t="n"/>
      <c r="F98" s="10" t="n"/>
      <c r="G98" s="6">
        <f>IF(F98="","",Config!$B$9)</f>
        <v/>
      </c>
      <c r="H98" s="11">
        <f>IF(F98="","",ROUND(F98*G98,2))</f>
        <v/>
      </c>
      <c r="I98" s="6">
        <f>IF(F98="","",Config!$B$10)</f>
        <v/>
      </c>
      <c r="J98" s="11">
        <f>IF(F98="","",ROUND(F98*I98,2))</f>
        <v/>
      </c>
      <c r="K98" s="11">
        <f>IF(F98="","",F98+H98-J98)</f>
        <v/>
      </c>
      <c r="L98" s="12">
        <f>IF(A98="","",ROUNDUP(MONTH(A98)/3,0))</f>
        <v/>
      </c>
      <c r="M98" s="12">
        <f>IF(A98="","",MONTH(A98))</f>
        <v/>
      </c>
      <c r="N98" s="5" t="n"/>
    </row>
    <row r="99">
      <c r="A99" s="9" t="n"/>
      <c r="B99" s="5" t="n"/>
      <c r="C99" s="5" t="n"/>
      <c r="D99" s="5" t="n"/>
      <c r="E99" s="5" t="n"/>
      <c r="F99" s="10" t="n"/>
      <c r="G99" s="6">
        <f>IF(F99="","",Config!$B$9)</f>
        <v/>
      </c>
      <c r="H99" s="11">
        <f>IF(F99="","",ROUND(F99*G99,2))</f>
        <v/>
      </c>
      <c r="I99" s="6">
        <f>IF(F99="","",Config!$B$10)</f>
        <v/>
      </c>
      <c r="J99" s="11">
        <f>IF(F99="","",ROUND(F99*I99,2))</f>
        <v/>
      </c>
      <c r="K99" s="11">
        <f>IF(F99="","",F99+H99-J99)</f>
        <v/>
      </c>
      <c r="L99" s="12">
        <f>IF(A99="","",ROUNDUP(MONTH(A99)/3,0))</f>
        <v/>
      </c>
      <c r="M99" s="12">
        <f>IF(A99="","",MONTH(A99))</f>
        <v/>
      </c>
      <c r="N99" s="5" t="n"/>
    </row>
    <row r="100">
      <c r="A100" s="9" t="n"/>
      <c r="B100" s="5" t="n"/>
      <c r="C100" s="5" t="n"/>
      <c r="D100" s="5" t="n"/>
      <c r="E100" s="5" t="n"/>
      <c r="F100" s="10" t="n"/>
      <c r="G100" s="6">
        <f>IF(F100="","",Config!$B$9)</f>
        <v/>
      </c>
      <c r="H100" s="11">
        <f>IF(F100="","",ROUND(F100*G100,2))</f>
        <v/>
      </c>
      <c r="I100" s="6">
        <f>IF(F100="","",Config!$B$10)</f>
        <v/>
      </c>
      <c r="J100" s="11">
        <f>IF(F100="","",ROUND(F100*I100,2))</f>
        <v/>
      </c>
      <c r="K100" s="11">
        <f>IF(F100="","",F100+H100-J100)</f>
        <v/>
      </c>
      <c r="L100" s="12">
        <f>IF(A100="","",ROUNDUP(MONTH(A100)/3,0))</f>
        <v/>
      </c>
      <c r="M100" s="12">
        <f>IF(A100="","",MONTH(A100))</f>
        <v/>
      </c>
      <c r="N100" s="5" t="n"/>
    </row>
    <row r="101">
      <c r="A101" s="9" t="n"/>
      <c r="B101" s="5" t="n"/>
      <c r="C101" s="5" t="n"/>
      <c r="D101" s="5" t="n"/>
      <c r="E101" s="5" t="n"/>
      <c r="F101" s="10" t="n"/>
      <c r="G101" s="6">
        <f>IF(F101="","",Config!$B$9)</f>
        <v/>
      </c>
      <c r="H101" s="11">
        <f>IF(F101="","",ROUND(F101*G101,2))</f>
        <v/>
      </c>
      <c r="I101" s="6">
        <f>IF(F101="","",Config!$B$10)</f>
        <v/>
      </c>
      <c r="J101" s="11">
        <f>IF(F101="","",ROUND(F101*I101,2))</f>
        <v/>
      </c>
      <c r="K101" s="11">
        <f>IF(F101="","",F101+H101-J101)</f>
        <v/>
      </c>
      <c r="L101" s="12">
        <f>IF(A101="","",ROUNDUP(MONTH(A101)/3,0))</f>
        <v/>
      </c>
      <c r="M101" s="12">
        <f>IF(A101="","",MONTH(A101))</f>
        <v/>
      </c>
      <c r="N101" s="5" t="n"/>
    </row>
    <row r="102">
      <c r="A102" s="9" t="n"/>
      <c r="B102" s="5" t="n"/>
      <c r="C102" s="5" t="n"/>
      <c r="D102" s="5" t="n"/>
      <c r="E102" s="5" t="n"/>
      <c r="F102" s="10" t="n"/>
      <c r="G102" s="6">
        <f>IF(F102="","",Config!$B$9)</f>
        <v/>
      </c>
      <c r="H102" s="11">
        <f>IF(F102="","",ROUND(F102*G102,2))</f>
        <v/>
      </c>
      <c r="I102" s="6">
        <f>IF(F102="","",Config!$B$10)</f>
        <v/>
      </c>
      <c r="J102" s="11">
        <f>IF(F102="","",ROUND(F102*I102,2))</f>
        <v/>
      </c>
      <c r="K102" s="11">
        <f>IF(F102="","",F102+H102-J102)</f>
        <v/>
      </c>
      <c r="L102" s="12">
        <f>IF(A102="","",ROUNDUP(MONTH(A102)/3,0))</f>
        <v/>
      </c>
      <c r="M102" s="12">
        <f>IF(A102="","",MONTH(A102))</f>
        <v/>
      </c>
      <c r="N102" s="5" t="n"/>
    </row>
    <row r="103">
      <c r="A103" s="9" t="n"/>
      <c r="B103" s="5" t="n"/>
      <c r="C103" s="5" t="n"/>
      <c r="D103" s="5" t="n"/>
      <c r="E103" s="5" t="n"/>
      <c r="F103" s="10" t="n"/>
      <c r="G103" s="6">
        <f>IF(F103="","",Config!$B$9)</f>
        <v/>
      </c>
      <c r="H103" s="11">
        <f>IF(F103="","",ROUND(F103*G103,2))</f>
        <v/>
      </c>
      <c r="I103" s="6">
        <f>IF(F103="","",Config!$B$10)</f>
        <v/>
      </c>
      <c r="J103" s="11">
        <f>IF(F103="","",ROUND(F103*I103,2))</f>
        <v/>
      </c>
      <c r="K103" s="11">
        <f>IF(F103="","",F103+H103-J103)</f>
        <v/>
      </c>
      <c r="L103" s="12">
        <f>IF(A103="","",ROUNDUP(MONTH(A103)/3,0))</f>
        <v/>
      </c>
      <c r="M103" s="12">
        <f>IF(A103="","",MONTH(A103))</f>
        <v/>
      </c>
      <c r="N103" s="5" t="n"/>
    </row>
    <row r="104">
      <c r="A104" s="9" t="n"/>
      <c r="B104" s="5" t="n"/>
      <c r="C104" s="5" t="n"/>
      <c r="D104" s="5" t="n"/>
      <c r="E104" s="5" t="n"/>
      <c r="F104" s="10" t="n"/>
      <c r="G104" s="6">
        <f>IF(F104="","",Config!$B$9)</f>
        <v/>
      </c>
      <c r="H104" s="11">
        <f>IF(F104="","",ROUND(F104*G104,2))</f>
        <v/>
      </c>
      <c r="I104" s="6">
        <f>IF(F104="","",Config!$B$10)</f>
        <v/>
      </c>
      <c r="J104" s="11">
        <f>IF(F104="","",ROUND(F104*I104,2))</f>
        <v/>
      </c>
      <c r="K104" s="11">
        <f>IF(F104="","",F104+H104-J104)</f>
        <v/>
      </c>
      <c r="L104" s="12">
        <f>IF(A104="","",ROUNDUP(MONTH(A104)/3,0))</f>
        <v/>
      </c>
      <c r="M104" s="12">
        <f>IF(A104="","",MONTH(A104))</f>
        <v/>
      </c>
      <c r="N104" s="5" t="n"/>
    </row>
    <row r="105">
      <c r="A105" s="9" t="n"/>
      <c r="B105" s="5" t="n"/>
      <c r="C105" s="5" t="n"/>
      <c r="D105" s="5" t="n"/>
      <c r="E105" s="5" t="n"/>
      <c r="F105" s="10" t="n"/>
      <c r="G105" s="6">
        <f>IF(F105="","",Config!$B$9)</f>
        <v/>
      </c>
      <c r="H105" s="11">
        <f>IF(F105="","",ROUND(F105*G105,2))</f>
        <v/>
      </c>
      <c r="I105" s="6">
        <f>IF(F105="","",Config!$B$10)</f>
        <v/>
      </c>
      <c r="J105" s="11">
        <f>IF(F105="","",ROUND(F105*I105,2))</f>
        <v/>
      </c>
      <c r="K105" s="11">
        <f>IF(F105="","",F105+H105-J105)</f>
        <v/>
      </c>
      <c r="L105" s="12">
        <f>IF(A105="","",ROUNDUP(MONTH(A105)/3,0))</f>
        <v/>
      </c>
      <c r="M105" s="12">
        <f>IF(A105="","",MONTH(A105))</f>
        <v/>
      </c>
      <c r="N105" s="5" t="n"/>
    </row>
    <row r="106">
      <c r="A106" s="9" t="n"/>
      <c r="B106" s="5" t="n"/>
      <c r="C106" s="5" t="n"/>
      <c r="D106" s="5" t="n"/>
      <c r="E106" s="5" t="n"/>
      <c r="F106" s="10" t="n"/>
      <c r="G106" s="6">
        <f>IF(F106="","",Config!$B$9)</f>
        <v/>
      </c>
      <c r="H106" s="11">
        <f>IF(F106="","",ROUND(F106*G106,2))</f>
        <v/>
      </c>
      <c r="I106" s="6">
        <f>IF(F106="","",Config!$B$10)</f>
        <v/>
      </c>
      <c r="J106" s="11">
        <f>IF(F106="","",ROUND(F106*I106,2))</f>
        <v/>
      </c>
      <c r="K106" s="11">
        <f>IF(F106="","",F106+H106-J106)</f>
        <v/>
      </c>
      <c r="L106" s="12">
        <f>IF(A106="","",ROUNDUP(MONTH(A106)/3,0))</f>
        <v/>
      </c>
      <c r="M106" s="12">
        <f>IF(A106="","",MONTH(A106))</f>
        <v/>
      </c>
      <c r="N106" s="5" t="n"/>
    </row>
    <row r="107">
      <c r="A107" s="9" t="n"/>
      <c r="B107" s="5" t="n"/>
      <c r="C107" s="5" t="n"/>
      <c r="D107" s="5" t="n"/>
      <c r="E107" s="5" t="n"/>
      <c r="F107" s="10" t="n"/>
      <c r="G107" s="6">
        <f>IF(F107="","",Config!$B$9)</f>
        <v/>
      </c>
      <c r="H107" s="11">
        <f>IF(F107="","",ROUND(F107*G107,2))</f>
        <v/>
      </c>
      <c r="I107" s="6">
        <f>IF(F107="","",Config!$B$10)</f>
        <v/>
      </c>
      <c r="J107" s="11">
        <f>IF(F107="","",ROUND(F107*I107,2))</f>
        <v/>
      </c>
      <c r="K107" s="11">
        <f>IF(F107="","",F107+H107-J107)</f>
        <v/>
      </c>
      <c r="L107" s="12">
        <f>IF(A107="","",ROUNDUP(MONTH(A107)/3,0))</f>
        <v/>
      </c>
      <c r="M107" s="12">
        <f>IF(A107="","",MONTH(A107))</f>
        <v/>
      </c>
      <c r="N107" s="5" t="n"/>
    </row>
    <row r="108">
      <c r="A108" s="9" t="n"/>
      <c r="B108" s="5" t="n"/>
      <c r="C108" s="5" t="n"/>
      <c r="D108" s="5" t="n"/>
      <c r="E108" s="5" t="n"/>
      <c r="F108" s="10" t="n"/>
      <c r="G108" s="6">
        <f>IF(F108="","",Config!$B$9)</f>
        <v/>
      </c>
      <c r="H108" s="11">
        <f>IF(F108="","",ROUND(F108*G108,2))</f>
        <v/>
      </c>
      <c r="I108" s="6">
        <f>IF(F108="","",Config!$B$10)</f>
        <v/>
      </c>
      <c r="J108" s="11">
        <f>IF(F108="","",ROUND(F108*I108,2))</f>
        <v/>
      </c>
      <c r="K108" s="11">
        <f>IF(F108="","",F108+H108-J108)</f>
        <v/>
      </c>
      <c r="L108" s="12">
        <f>IF(A108="","",ROUNDUP(MONTH(A108)/3,0))</f>
        <v/>
      </c>
      <c r="M108" s="12">
        <f>IF(A108="","",MONTH(A108))</f>
        <v/>
      </c>
      <c r="N108" s="5" t="n"/>
    </row>
    <row r="109">
      <c r="A109" s="9" t="n"/>
      <c r="B109" s="5" t="n"/>
      <c r="C109" s="5" t="n"/>
      <c r="D109" s="5" t="n"/>
      <c r="E109" s="5" t="n"/>
      <c r="F109" s="10" t="n"/>
      <c r="G109" s="6">
        <f>IF(F109="","",Config!$B$9)</f>
        <v/>
      </c>
      <c r="H109" s="11">
        <f>IF(F109="","",ROUND(F109*G109,2))</f>
        <v/>
      </c>
      <c r="I109" s="6">
        <f>IF(F109="","",Config!$B$10)</f>
        <v/>
      </c>
      <c r="J109" s="11">
        <f>IF(F109="","",ROUND(F109*I109,2))</f>
        <v/>
      </c>
      <c r="K109" s="11">
        <f>IF(F109="","",F109+H109-J109)</f>
        <v/>
      </c>
      <c r="L109" s="12">
        <f>IF(A109="","",ROUNDUP(MONTH(A109)/3,0))</f>
        <v/>
      </c>
      <c r="M109" s="12">
        <f>IF(A109="","",MONTH(A109))</f>
        <v/>
      </c>
      <c r="N109" s="5" t="n"/>
    </row>
    <row r="110">
      <c r="A110" s="9" t="n"/>
      <c r="B110" s="5" t="n"/>
      <c r="C110" s="5" t="n"/>
      <c r="D110" s="5" t="n"/>
      <c r="E110" s="5" t="n"/>
      <c r="F110" s="10" t="n"/>
      <c r="G110" s="6">
        <f>IF(F110="","",Config!$B$9)</f>
        <v/>
      </c>
      <c r="H110" s="11">
        <f>IF(F110="","",ROUND(F110*G110,2))</f>
        <v/>
      </c>
      <c r="I110" s="6">
        <f>IF(F110="","",Config!$B$10)</f>
        <v/>
      </c>
      <c r="J110" s="11">
        <f>IF(F110="","",ROUND(F110*I110,2))</f>
        <v/>
      </c>
      <c r="K110" s="11">
        <f>IF(F110="","",F110+H110-J110)</f>
        <v/>
      </c>
      <c r="L110" s="12">
        <f>IF(A110="","",ROUNDUP(MONTH(A110)/3,0))</f>
        <v/>
      </c>
      <c r="M110" s="12">
        <f>IF(A110="","",MONTH(A110))</f>
        <v/>
      </c>
      <c r="N110" s="5" t="n"/>
    </row>
    <row r="111">
      <c r="A111" s="9" t="n"/>
      <c r="B111" s="5" t="n"/>
      <c r="C111" s="5" t="n"/>
      <c r="D111" s="5" t="n"/>
      <c r="E111" s="5" t="n"/>
      <c r="F111" s="10" t="n"/>
      <c r="G111" s="6">
        <f>IF(F111="","",Config!$B$9)</f>
        <v/>
      </c>
      <c r="H111" s="11">
        <f>IF(F111="","",ROUND(F111*G111,2))</f>
        <v/>
      </c>
      <c r="I111" s="6">
        <f>IF(F111="","",Config!$B$10)</f>
        <v/>
      </c>
      <c r="J111" s="11">
        <f>IF(F111="","",ROUND(F111*I111,2))</f>
        <v/>
      </c>
      <c r="K111" s="11">
        <f>IF(F111="","",F111+H111-J111)</f>
        <v/>
      </c>
      <c r="L111" s="12">
        <f>IF(A111="","",ROUNDUP(MONTH(A111)/3,0))</f>
        <v/>
      </c>
      <c r="M111" s="12">
        <f>IF(A111="","",MONTH(A111))</f>
        <v/>
      </c>
      <c r="N111" s="5" t="n"/>
    </row>
    <row r="112">
      <c r="A112" s="9" t="n"/>
      <c r="B112" s="5" t="n"/>
      <c r="C112" s="5" t="n"/>
      <c r="D112" s="5" t="n"/>
      <c r="E112" s="5" t="n"/>
      <c r="F112" s="10" t="n"/>
      <c r="G112" s="6">
        <f>IF(F112="","",Config!$B$9)</f>
        <v/>
      </c>
      <c r="H112" s="11">
        <f>IF(F112="","",ROUND(F112*G112,2))</f>
        <v/>
      </c>
      <c r="I112" s="6">
        <f>IF(F112="","",Config!$B$10)</f>
        <v/>
      </c>
      <c r="J112" s="11">
        <f>IF(F112="","",ROUND(F112*I112,2))</f>
        <v/>
      </c>
      <c r="K112" s="11">
        <f>IF(F112="","",F112+H112-J112)</f>
        <v/>
      </c>
      <c r="L112" s="12">
        <f>IF(A112="","",ROUNDUP(MONTH(A112)/3,0))</f>
        <v/>
      </c>
      <c r="M112" s="12">
        <f>IF(A112="","",MONTH(A112))</f>
        <v/>
      </c>
      <c r="N112" s="5" t="n"/>
    </row>
    <row r="113">
      <c r="A113" s="9" t="n"/>
      <c r="B113" s="5" t="n"/>
      <c r="C113" s="5" t="n"/>
      <c r="D113" s="5" t="n"/>
      <c r="E113" s="5" t="n"/>
      <c r="F113" s="10" t="n"/>
      <c r="G113" s="6">
        <f>IF(F113="","",Config!$B$9)</f>
        <v/>
      </c>
      <c r="H113" s="11">
        <f>IF(F113="","",ROUND(F113*G113,2))</f>
        <v/>
      </c>
      <c r="I113" s="6">
        <f>IF(F113="","",Config!$B$10)</f>
        <v/>
      </c>
      <c r="J113" s="11">
        <f>IF(F113="","",ROUND(F113*I113,2))</f>
        <v/>
      </c>
      <c r="K113" s="11">
        <f>IF(F113="","",F113+H113-J113)</f>
        <v/>
      </c>
      <c r="L113" s="12">
        <f>IF(A113="","",ROUNDUP(MONTH(A113)/3,0))</f>
        <v/>
      </c>
      <c r="M113" s="12">
        <f>IF(A113="","",MONTH(A113))</f>
        <v/>
      </c>
      <c r="N113" s="5" t="n"/>
    </row>
    <row r="114">
      <c r="A114" s="9" t="n"/>
      <c r="B114" s="5" t="n"/>
      <c r="C114" s="5" t="n"/>
      <c r="D114" s="5" t="n"/>
      <c r="E114" s="5" t="n"/>
      <c r="F114" s="10" t="n"/>
      <c r="G114" s="6">
        <f>IF(F114="","",Config!$B$9)</f>
        <v/>
      </c>
      <c r="H114" s="11">
        <f>IF(F114="","",ROUND(F114*G114,2))</f>
        <v/>
      </c>
      <c r="I114" s="6">
        <f>IF(F114="","",Config!$B$10)</f>
        <v/>
      </c>
      <c r="J114" s="11">
        <f>IF(F114="","",ROUND(F114*I114,2))</f>
        <v/>
      </c>
      <c r="K114" s="11">
        <f>IF(F114="","",F114+H114-J114)</f>
        <v/>
      </c>
      <c r="L114" s="12">
        <f>IF(A114="","",ROUNDUP(MONTH(A114)/3,0))</f>
        <v/>
      </c>
      <c r="M114" s="12">
        <f>IF(A114="","",MONTH(A114))</f>
        <v/>
      </c>
      <c r="N114" s="5" t="n"/>
    </row>
    <row r="115">
      <c r="A115" s="9" t="n"/>
      <c r="B115" s="5" t="n"/>
      <c r="C115" s="5" t="n"/>
      <c r="D115" s="5" t="n"/>
      <c r="E115" s="5" t="n"/>
      <c r="F115" s="10" t="n"/>
      <c r="G115" s="6">
        <f>IF(F115="","",Config!$B$9)</f>
        <v/>
      </c>
      <c r="H115" s="11">
        <f>IF(F115="","",ROUND(F115*G115,2))</f>
        <v/>
      </c>
      <c r="I115" s="6">
        <f>IF(F115="","",Config!$B$10)</f>
        <v/>
      </c>
      <c r="J115" s="11">
        <f>IF(F115="","",ROUND(F115*I115,2))</f>
        <v/>
      </c>
      <c r="K115" s="11">
        <f>IF(F115="","",F115+H115-J115)</f>
        <v/>
      </c>
      <c r="L115" s="12">
        <f>IF(A115="","",ROUNDUP(MONTH(A115)/3,0))</f>
        <v/>
      </c>
      <c r="M115" s="12">
        <f>IF(A115="","",MONTH(A115))</f>
        <v/>
      </c>
      <c r="N115" s="5" t="n"/>
    </row>
    <row r="116">
      <c r="A116" s="9" t="n"/>
      <c r="B116" s="5" t="n"/>
      <c r="C116" s="5" t="n"/>
      <c r="D116" s="5" t="n"/>
      <c r="E116" s="5" t="n"/>
      <c r="F116" s="10" t="n"/>
      <c r="G116" s="6">
        <f>IF(F116="","",Config!$B$9)</f>
        <v/>
      </c>
      <c r="H116" s="11">
        <f>IF(F116="","",ROUND(F116*G116,2))</f>
        <v/>
      </c>
      <c r="I116" s="6">
        <f>IF(F116="","",Config!$B$10)</f>
        <v/>
      </c>
      <c r="J116" s="11">
        <f>IF(F116="","",ROUND(F116*I116,2))</f>
        <v/>
      </c>
      <c r="K116" s="11">
        <f>IF(F116="","",F116+H116-J116)</f>
        <v/>
      </c>
      <c r="L116" s="12">
        <f>IF(A116="","",ROUNDUP(MONTH(A116)/3,0))</f>
        <v/>
      </c>
      <c r="M116" s="12">
        <f>IF(A116="","",MONTH(A116))</f>
        <v/>
      </c>
      <c r="N116" s="5" t="n"/>
    </row>
    <row r="117">
      <c r="A117" s="9" t="n"/>
      <c r="B117" s="5" t="n"/>
      <c r="C117" s="5" t="n"/>
      <c r="D117" s="5" t="n"/>
      <c r="E117" s="5" t="n"/>
      <c r="F117" s="10" t="n"/>
      <c r="G117" s="6">
        <f>IF(F117="","",Config!$B$9)</f>
        <v/>
      </c>
      <c r="H117" s="11">
        <f>IF(F117="","",ROUND(F117*G117,2))</f>
        <v/>
      </c>
      <c r="I117" s="6">
        <f>IF(F117="","",Config!$B$10)</f>
        <v/>
      </c>
      <c r="J117" s="11">
        <f>IF(F117="","",ROUND(F117*I117,2))</f>
        <v/>
      </c>
      <c r="K117" s="11">
        <f>IF(F117="","",F117+H117-J117)</f>
        <v/>
      </c>
      <c r="L117" s="12">
        <f>IF(A117="","",ROUNDUP(MONTH(A117)/3,0))</f>
        <v/>
      </c>
      <c r="M117" s="12">
        <f>IF(A117="","",MONTH(A117))</f>
        <v/>
      </c>
      <c r="N117" s="5" t="n"/>
    </row>
    <row r="118">
      <c r="A118" s="9" t="n"/>
      <c r="B118" s="5" t="n"/>
      <c r="C118" s="5" t="n"/>
      <c r="D118" s="5" t="n"/>
      <c r="E118" s="5" t="n"/>
      <c r="F118" s="10" t="n"/>
      <c r="G118" s="6">
        <f>IF(F118="","",Config!$B$9)</f>
        <v/>
      </c>
      <c r="H118" s="11">
        <f>IF(F118="","",ROUND(F118*G118,2))</f>
        <v/>
      </c>
      <c r="I118" s="6">
        <f>IF(F118="","",Config!$B$10)</f>
        <v/>
      </c>
      <c r="J118" s="11">
        <f>IF(F118="","",ROUND(F118*I118,2))</f>
        <v/>
      </c>
      <c r="K118" s="11">
        <f>IF(F118="","",F118+H118-J118)</f>
        <v/>
      </c>
      <c r="L118" s="12">
        <f>IF(A118="","",ROUNDUP(MONTH(A118)/3,0))</f>
        <v/>
      </c>
      <c r="M118" s="12">
        <f>IF(A118="","",MONTH(A118))</f>
        <v/>
      </c>
      <c r="N118" s="5" t="n"/>
    </row>
    <row r="119">
      <c r="A119" s="9" t="n"/>
      <c r="B119" s="5" t="n"/>
      <c r="C119" s="5" t="n"/>
      <c r="D119" s="5" t="n"/>
      <c r="E119" s="5" t="n"/>
      <c r="F119" s="10" t="n"/>
      <c r="G119" s="6">
        <f>IF(F119="","",Config!$B$9)</f>
        <v/>
      </c>
      <c r="H119" s="11">
        <f>IF(F119="","",ROUND(F119*G119,2))</f>
        <v/>
      </c>
      <c r="I119" s="6">
        <f>IF(F119="","",Config!$B$10)</f>
        <v/>
      </c>
      <c r="J119" s="11">
        <f>IF(F119="","",ROUND(F119*I119,2))</f>
        <v/>
      </c>
      <c r="K119" s="11">
        <f>IF(F119="","",F119+H119-J119)</f>
        <v/>
      </c>
      <c r="L119" s="12">
        <f>IF(A119="","",ROUNDUP(MONTH(A119)/3,0))</f>
        <v/>
      </c>
      <c r="M119" s="12">
        <f>IF(A119="","",MONTH(A119))</f>
        <v/>
      </c>
      <c r="N119" s="5" t="n"/>
    </row>
    <row r="120">
      <c r="A120" s="9" t="n"/>
      <c r="B120" s="5" t="n"/>
      <c r="C120" s="5" t="n"/>
      <c r="D120" s="5" t="n"/>
      <c r="E120" s="5" t="n"/>
      <c r="F120" s="10" t="n"/>
      <c r="G120" s="6">
        <f>IF(F120="","",Config!$B$9)</f>
        <v/>
      </c>
      <c r="H120" s="11">
        <f>IF(F120="","",ROUND(F120*G120,2))</f>
        <v/>
      </c>
      <c r="I120" s="6">
        <f>IF(F120="","",Config!$B$10)</f>
        <v/>
      </c>
      <c r="J120" s="11">
        <f>IF(F120="","",ROUND(F120*I120,2))</f>
        <v/>
      </c>
      <c r="K120" s="11">
        <f>IF(F120="","",F120+H120-J120)</f>
        <v/>
      </c>
      <c r="L120" s="12">
        <f>IF(A120="","",ROUNDUP(MONTH(A120)/3,0))</f>
        <v/>
      </c>
      <c r="M120" s="12">
        <f>IF(A120="","",MONTH(A120))</f>
        <v/>
      </c>
      <c r="N120" s="5" t="n"/>
    </row>
    <row r="121">
      <c r="A121" s="9" t="n"/>
      <c r="B121" s="5" t="n"/>
      <c r="C121" s="5" t="n"/>
      <c r="D121" s="5" t="n"/>
      <c r="E121" s="5" t="n"/>
      <c r="F121" s="10" t="n"/>
      <c r="G121" s="6">
        <f>IF(F121="","",Config!$B$9)</f>
        <v/>
      </c>
      <c r="H121" s="11">
        <f>IF(F121="","",ROUND(F121*G121,2))</f>
        <v/>
      </c>
      <c r="I121" s="6">
        <f>IF(F121="","",Config!$B$10)</f>
        <v/>
      </c>
      <c r="J121" s="11">
        <f>IF(F121="","",ROUND(F121*I121,2))</f>
        <v/>
      </c>
      <c r="K121" s="11">
        <f>IF(F121="","",F121+H121-J121)</f>
        <v/>
      </c>
      <c r="L121" s="12">
        <f>IF(A121="","",ROUNDUP(MONTH(A121)/3,0))</f>
        <v/>
      </c>
      <c r="M121" s="12">
        <f>IF(A121="","",MONTH(A121))</f>
        <v/>
      </c>
      <c r="N121" s="5" t="n"/>
    </row>
    <row r="122">
      <c r="A122" s="9" t="n"/>
      <c r="B122" s="5" t="n"/>
      <c r="C122" s="5" t="n"/>
      <c r="D122" s="5" t="n"/>
      <c r="E122" s="5" t="n"/>
      <c r="F122" s="10" t="n"/>
      <c r="G122" s="6">
        <f>IF(F122="","",Config!$B$9)</f>
        <v/>
      </c>
      <c r="H122" s="11">
        <f>IF(F122="","",ROUND(F122*G122,2))</f>
        <v/>
      </c>
      <c r="I122" s="6">
        <f>IF(F122="","",Config!$B$10)</f>
        <v/>
      </c>
      <c r="J122" s="11">
        <f>IF(F122="","",ROUND(F122*I122,2))</f>
        <v/>
      </c>
      <c r="K122" s="11">
        <f>IF(F122="","",F122+H122-J122)</f>
        <v/>
      </c>
      <c r="L122" s="12">
        <f>IF(A122="","",ROUNDUP(MONTH(A122)/3,0))</f>
        <v/>
      </c>
      <c r="M122" s="12">
        <f>IF(A122="","",MONTH(A122))</f>
        <v/>
      </c>
      <c r="N122" s="5" t="n"/>
    </row>
    <row r="123">
      <c r="A123" s="9" t="n"/>
      <c r="B123" s="5" t="n"/>
      <c r="C123" s="5" t="n"/>
      <c r="D123" s="5" t="n"/>
      <c r="E123" s="5" t="n"/>
      <c r="F123" s="10" t="n"/>
      <c r="G123" s="6">
        <f>IF(F123="","",Config!$B$9)</f>
        <v/>
      </c>
      <c r="H123" s="11">
        <f>IF(F123="","",ROUND(F123*G123,2))</f>
        <v/>
      </c>
      <c r="I123" s="6">
        <f>IF(F123="","",Config!$B$10)</f>
        <v/>
      </c>
      <c r="J123" s="11">
        <f>IF(F123="","",ROUND(F123*I123,2))</f>
        <v/>
      </c>
      <c r="K123" s="11">
        <f>IF(F123="","",F123+H123-J123)</f>
        <v/>
      </c>
      <c r="L123" s="12">
        <f>IF(A123="","",ROUNDUP(MONTH(A123)/3,0))</f>
        <v/>
      </c>
      <c r="M123" s="12">
        <f>IF(A123="","",MONTH(A123))</f>
        <v/>
      </c>
      <c r="N123" s="5" t="n"/>
    </row>
    <row r="124">
      <c r="A124" s="9" t="n"/>
      <c r="B124" s="5" t="n"/>
      <c r="C124" s="5" t="n"/>
      <c r="D124" s="5" t="n"/>
      <c r="E124" s="5" t="n"/>
      <c r="F124" s="10" t="n"/>
      <c r="G124" s="6">
        <f>IF(F124="","",Config!$B$9)</f>
        <v/>
      </c>
      <c r="H124" s="11">
        <f>IF(F124="","",ROUND(F124*G124,2))</f>
        <v/>
      </c>
      <c r="I124" s="6">
        <f>IF(F124="","",Config!$B$10)</f>
        <v/>
      </c>
      <c r="J124" s="11">
        <f>IF(F124="","",ROUND(F124*I124,2))</f>
        <v/>
      </c>
      <c r="K124" s="11">
        <f>IF(F124="","",F124+H124-J124)</f>
        <v/>
      </c>
      <c r="L124" s="12">
        <f>IF(A124="","",ROUNDUP(MONTH(A124)/3,0))</f>
        <v/>
      </c>
      <c r="M124" s="12">
        <f>IF(A124="","",MONTH(A124))</f>
        <v/>
      </c>
      <c r="N124" s="5" t="n"/>
    </row>
    <row r="125">
      <c r="A125" s="9" t="n"/>
      <c r="B125" s="5" t="n"/>
      <c r="C125" s="5" t="n"/>
      <c r="D125" s="5" t="n"/>
      <c r="E125" s="5" t="n"/>
      <c r="F125" s="10" t="n"/>
      <c r="G125" s="6">
        <f>IF(F125="","",Config!$B$9)</f>
        <v/>
      </c>
      <c r="H125" s="11">
        <f>IF(F125="","",ROUND(F125*G125,2))</f>
        <v/>
      </c>
      <c r="I125" s="6">
        <f>IF(F125="","",Config!$B$10)</f>
        <v/>
      </c>
      <c r="J125" s="11">
        <f>IF(F125="","",ROUND(F125*I125,2))</f>
        <v/>
      </c>
      <c r="K125" s="11">
        <f>IF(F125="","",F125+H125-J125)</f>
        <v/>
      </c>
      <c r="L125" s="12">
        <f>IF(A125="","",ROUNDUP(MONTH(A125)/3,0))</f>
        <v/>
      </c>
      <c r="M125" s="12">
        <f>IF(A125="","",MONTH(A125))</f>
        <v/>
      </c>
      <c r="N125" s="5" t="n"/>
    </row>
    <row r="126">
      <c r="A126" s="9" t="n"/>
      <c r="B126" s="5" t="n"/>
      <c r="C126" s="5" t="n"/>
      <c r="D126" s="5" t="n"/>
      <c r="E126" s="5" t="n"/>
      <c r="F126" s="10" t="n"/>
      <c r="G126" s="6">
        <f>IF(F126="","",Config!$B$9)</f>
        <v/>
      </c>
      <c r="H126" s="11">
        <f>IF(F126="","",ROUND(F126*G126,2))</f>
        <v/>
      </c>
      <c r="I126" s="6">
        <f>IF(F126="","",Config!$B$10)</f>
        <v/>
      </c>
      <c r="J126" s="11">
        <f>IF(F126="","",ROUND(F126*I126,2))</f>
        <v/>
      </c>
      <c r="K126" s="11">
        <f>IF(F126="","",F126+H126-J126)</f>
        <v/>
      </c>
      <c r="L126" s="12">
        <f>IF(A126="","",ROUNDUP(MONTH(A126)/3,0))</f>
        <v/>
      </c>
      <c r="M126" s="12">
        <f>IF(A126="","",MONTH(A126))</f>
        <v/>
      </c>
      <c r="N126" s="5" t="n"/>
    </row>
    <row r="127">
      <c r="A127" s="9" t="n"/>
      <c r="B127" s="5" t="n"/>
      <c r="C127" s="5" t="n"/>
      <c r="D127" s="5" t="n"/>
      <c r="E127" s="5" t="n"/>
      <c r="F127" s="10" t="n"/>
      <c r="G127" s="6">
        <f>IF(F127="","",Config!$B$9)</f>
        <v/>
      </c>
      <c r="H127" s="11">
        <f>IF(F127="","",ROUND(F127*G127,2))</f>
        <v/>
      </c>
      <c r="I127" s="6">
        <f>IF(F127="","",Config!$B$10)</f>
        <v/>
      </c>
      <c r="J127" s="11">
        <f>IF(F127="","",ROUND(F127*I127,2))</f>
        <v/>
      </c>
      <c r="K127" s="11">
        <f>IF(F127="","",F127+H127-J127)</f>
        <v/>
      </c>
      <c r="L127" s="12">
        <f>IF(A127="","",ROUNDUP(MONTH(A127)/3,0))</f>
        <v/>
      </c>
      <c r="M127" s="12">
        <f>IF(A127="","",MONTH(A127))</f>
        <v/>
      </c>
      <c r="N127" s="5" t="n"/>
    </row>
    <row r="128">
      <c r="A128" s="9" t="n"/>
      <c r="B128" s="5" t="n"/>
      <c r="C128" s="5" t="n"/>
      <c r="D128" s="5" t="n"/>
      <c r="E128" s="5" t="n"/>
      <c r="F128" s="10" t="n"/>
      <c r="G128" s="6">
        <f>IF(F128="","",Config!$B$9)</f>
        <v/>
      </c>
      <c r="H128" s="11">
        <f>IF(F128="","",ROUND(F128*G128,2))</f>
        <v/>
      </c>
      <c r="I128" s="6">
        <f>IF(F128="","",Config!$B$10)</f>
        <v/>
      </c>
      <c r="J128" s="11">
        <f>IF(F128="","",ROUND(F128*I128,2))</f>
        <v/>
      </c>
      <c r="K128" s="11">
        <f>IF(F128="","",F128+H128-J128)</f>
        <v/>
      </c>
      <c r="L128" s="12">
        <f>IF(A128="","",ROUNDUP(MONTH(A128)/3,0))</f>
        <v/>
      </c>
      <c r="M128" s="12">
        <f>IF(A128="","",MONTH(A128))</f>
        <v/>
      </c>
      <c r="N128" s="5" t="n"/>
    </row>
    <row r="129">
      <c r="A129" s="9" t="n"/>
      <c r="B129" s="5" t="n"/>
      <c r="C129" s="5" t="n"/>
      <c r="D129" s="5" t="n"/>
      <c r="E129" s="5" t="n"/>
      <c r="F129" s="10" t="n"/>
      <c r="G129" s="6">
        <f>IF(F129="","",Config!$B$9)</f>
        <v/>
      </c>
      <c r="H129" s="11">
        <f>IF(F129="","",ROUND(F129*G129,2))</f>
        <v/>
      </c>
      <c r="I129" s="6">
        <f>IF(F129="","",Config!$B$10)</f>
        <v/>
      </c>
      <c r="J129" s="11">
        <f>IF(F129="","",ROUND(F129*I129,2))</f>
        <v/>
      </c>
      <c r="K129" s="11">
        <f>IF(F129="","",F129+H129-J129)</f>
        <v/>
      </c>
      <c r="L129" s="12">
        <f>IF(A129="","",ROUNDUP(MONTH(A129)/3,0))</f>
        <v/>
      </c>
      <c r="M129" s="12">
        <f>IF(A129="","",MONTH(A129))</f>
        <v/>
      </c>
      <c r="N129" s="5" t="n"/>
    </row>
    <row r="130">
      <c r="A130" s="9" t="n"/>
      <c r="B130" s="5" t="n"/>
      <c r="C130" s="5" t="n"/>
      <c r="D130" s="5" t="n"/>
      <c r="E130" s="5" t="n"/>
      <c r="F130" s="10" t="n"/>
      <c r="G130" s="6">
        <f>IF(F130="","",Config!$B$9)</f>
        <v/>
      </c>
      <c r="H130" s="11">
        <f>IF(F130="","",ROUND(F130*G130,2))</f>
        <v/>
      </c>
      <c r="I130" s="6">
        <f>IF(F130="","",Config!$B$10)</f>
        <v/>
      </c>
      <c r="J130" s="11">
        <f>IF(F130="","",ROUND(F130*I130,2))</f>
        <v/>
      </c>
      <c r="K130" s="11">
        <f>IF(F130="","",F130+H130-J130)</f>
        <v/>
      </c>
      <c r="L130" s="12">
        <f>IF(A130="","",ROUNDUP(MONTH(A130)/3,0))</f>
        <v/>
      </c>
      <c r="M130" s="12">
        <f>IF(A130="","",MONTH(A130))</f>
        <v/>
      </c>
      <c r="N130" s="5" t="n"/>
    </row>
    <row r="131">
      <c r="A131" s="9" t="n"/>
      <c r="B131" s="5" t="n"/>
      <c r="C131" s="5" t="n"/>
      <c r="D131" s="5" t="n"/>
      <c r="E131" s="5" t="n"/>
      <c r="F131" s="10" t="n"/>
      <c r="G131" s="6">
        <f>IF(F131="","",Config!$B$9)</f>
        <v/>
      </c>
      <c r="H131" s="11">
        <f>IF(F131="","",ROUND(F131*G131,2))</f>
        <v/>
      </c>
      <c r="I131" s="6">
        <f>IF(F131="","",Config!$B$10)</f>
        <v/>
      </c>
      <c r="J131" s="11">
        <f>IF(F131="","",ROUND(F131*I131,2))</f>
        <v/>
      </c>
      <c r="K131" s="11">
        <f>IF(F131="","",F131+H131-J131)</f>
        <v/>
      </c>
      <c r="L131" s="12">
        <f>IF(A131="","",ROUNDUP(MONTH(A131)/3,0))</f>
        <v/>
      </c>
      <c r="M131" s="12">
        <f>IF(A131="","",MONTH(A131))</f>
        <v/>
      </c>
      <c r="N131" s="5" t="n"/>
    </row>
    <row r="132">
      <c r="A132" s="9" t="n"/>
      <c r="B132" s="5" t="n"/>
      <c r="C132" s="5" t="n"/>
      <c r="D132" s="5" t="n"/>
      <c r="E132" s="5" t="n"/>
      <c r="F132" s="10" t="n"/>
      <c r="G132" s="6">
        <f>IF(F132="","",Config!$B$9)</f>
        <v/>
      </c>
      <c r="H132" s="11">
        <f>IF(F132="","",ROUND(F132*G132,2))</f>
        <v/>
      </c>
      <c r="I132" s="6">
        <f>IF(F132="","",Config!$B$10)</f>
        <v/>
      </c>
      <c r="J132" s="11">
        <f>IF(F132="","",ROUND(F132*I132,2))</f>
        <v/>
      </c>
      <c r="K132" s="11">
        <f>IF(F132="","",F132+H132-J132)</f>
        <v/>
      </c>
      <c r="L132" s="12">
        <f>IF(A132="","",ROUNDUP(MONTH(A132)/3,0))</f>
        <v/>
      </c>
      <c r="M132" s="12">
        <f>IF(A132="","",MONTH(A132))</f>
        <v/>
      </c>
      <c r="N132" s="5" t="n"/>
    </row>
    <row r="133">
      <c r="A133" s="9" t="n"/>
      <c r="B133" s="5" t="n"/>
      <c r="C133" s="5" t="n"/>
      <c r="D133" s="5" t="n"/>
      <c r="E133" s="5" t="n"/>
      <c r="F133" s="10" t="n"/>
      <c r="G133" s="6">
        <f>IF(F133="","",Config!$B$9)</f>
        <v/>
      </c>
      <c r="H133" s="11">
        <f>IF(F133="","",ROUND(F133*G133,2))</f>
        <v/>
      </c>
      <c r="I133" s="6">
        <f>IF(F133="","",Config!$B$10)</f>
        <v/>
      </c>
      <c r="J133" s="11">
        <f>IF(F133="","",ROUND(F133*I133,2))</f>
        <v/>
      </c>
      <c r="K133" s="11">
        <f>IF(F133="","",F133+H133-J133)</f>
        <v/>
      </c>
      <c r="L133" s="12">
        <f>IF(A133="","",ROUNDUP(MONTH(A133)/3,0))</f>
        <v/>
      </c>
      <c r="M133" s="12">
        <f>IF(A133="","",MONTH(A133))</f>
        <v/>
      </c>
      <c r="N133" s="5" t="n"/>
    </row>
    <row r="134">
      <c r="A134" s="9" t="n"/>
      <c r="B134" s="5" t="n"/>
      <c r="C134" s="5" t="n"/>
      <c r="D134" s="5" t="n"/>
      <c r="E134" s="5" t="n"/>
      <c r="F134" s="10" t="n"/>
      <c r="G134" s="6">
        <f>IF(F134="","",Config!$B$9)</f>
        <v/>
      </c>
      <c r="H134" s="11">
        <f>IF(F134="","",ROUND(F134*G134,2))</f>
        <v/>
      </c>
      <c r="I134" s="6">
        <f>IF(F134="","",Config!$B$10)</f>
        <v/>
      </c>
      <c r="J134" s="11">
        <f>IF(F134="","",ROUND(F134*I134,2))</f>
        <v/>
      </c>
      <c r="K134" s="11">
        <f>IF(F134="","",F134+H134-J134)</f>
        <v/>
      </c>
      <c r="L134" s="12">
        <f>IF(A134="","",ROUNDUP(MONTH(A134)/3,0))</f>
        <v/>
      </c>
      <c r="M134" s="12">
        <f>IF(A134="","",MONTH(A134))</f>
        <v/>
      </c>
      <c r="N134" s="5" t="n"/>
    </row>
    <row r="135">
      <c r="A135" s="9" t="n"/>
      <c r="B135" s="5" t="n"/>
      <c r="C135" s="5" t="n"/>
      <c r="D135" s="5" t="n"/>
      <c r="E135" s="5" t="n"/>
      <c r="F135" s="10" t="n"/>
      <c r="G135" s="6">
        <f>IF(F135="","",Config!$B$9)</f>
        <v/>
      </c>
      <c r="H135" s="11">
        <f>IF(F135="","",ROUND(F135*G135,2))</f>
        <v/>
      </c>
      <c r="I135" s="6">
        <f>IF(F135="","",Config!$B$10)</f>
        <v/>
      </c>
      <c r="J135" s="11">
        <f>IF(F135="","",ROUND(F135*I135,2))</f>
        <v/>
      </c>
      <c r="K135" s="11">
        <f>IF(F135="","",F135+H135-J135)</f>
        <v/>
      </c>
      <c r="L135" s="12">
        <f>IF(A135="","",ROUNDUP(MONTH(A135)/3,0))</f>
        <v/>
      </c>
      <c r="M135" s="12">
        <f>IF(A135="","",MONTH(A135))</f>
        <v/>
      </c>
      <c r="N135" s="5" t="n"/>
    </row>
    <row r="136">
      <c r="A136" s="9" t="n"/>
      <c r="B136" s="5" t="n"/>
      <c r="C136" s="5" t="n"/>
      <c r="D136" s="5" t="n"/>
      <c r="E136" s="5" t="n"/>
      <c r="F136" s="10" t="n"/>
      <c r="G136" s="6">
        <f>IF(F136="","",Config!$B$9)</f>
        <v/>
      </c>
      <c r="H136" s="11">
        <f>IF(F136="","",ROUND(F136*G136,2))</f>
        <v/>
      </c>
      <c r="I136" s="6">
        <f>IF(F136="","",Config!$B$10)</f>
        <v/>
      </c>
      <c r="J136" s="11">
        <f>IF(F136="","",ROUND(F136*I136,2))</f>
        <v/>
      </c>
      <c r="K136" s="11">
        <f>IF(F136="","",F136+H136-J136)</f>
        <v/>
      </c>
      <c r="L136" s="12">
        <f>IF(A136="","",ROUNDUP(MONTH(A136)/3,0))</f>
        <v/>
      </c>
      <c r="M136" s="12">
        <f>IF(A136="","",MONTH(A136))</f>
        <v/>
      </c>
      <c r="N136" s="5" t="n"/>
    </row>
    <row r="137">
      <c r="A137" s="9" t="n"/>
      <c r="B137" s="5" t="n"/>
      <c r="C137" s="5" t="n"/>
      <c r="D137" s="5" t="n"/>
      <c r="E137" s="5" t="n"/>
      <c r="F137" s="10" t="n"/>
      <c r="G137" s="6">
        <f>IF(F137="","",Config!$B$9)</f>
        <v/>
      </c>
      <c r="H137" s="11">
        <f>IF(F137="","",ROUND(F137*G137,2))</f>
        <v/>
      </c>
      <c r="I137" s="6">
        <f>IF(F137="","",Config!$B$10)</f>
        <v/>
      </c>
      <c r="J137" s="11">
        <f>IF(F137="","",ROUND(F137*I137,2))</f>
        <v/>
      </c>
      <c r="K137" s="11">
        <f>IF(F137="","",F137+H137-J137)</f>
        <v/>
      </c>
      <c r="L137" s="12">
        <f>IF(A137="","",ROUNDUP(MONTH(A137)/3,0))</f>
        <v/>
      </c>
      <c r="M137" s="12">
        <f>IF(A137="","",MONTH(A137))</f>
        <v/>
      </c>
      <c r="N137" s="5" t="n"/>
    </row>
    <row r="138">
      <c r="A138" s="9" t="n"/>
      <c r="B138" s="5" t="n"/>
      <c r="C138" s="5" t="n"/>
      <c r="D138" s="5" t="n"/>
      <c r="E138" s="5" t="n"/>
      <c r="F138" s="10" t="n"/>
      <c r="G138" s="6">
        <f>IF(F138="","",Config!$B$9)</f>
        <v/>
      </c>
      <c r="H138" s="11">
        <f>IF(F138="","",ROUND(F138*G138,2))</f>
        <v/>
      </c>
      <c r="I138" s="6">
        <f>IF(F138="","",Config!$B$10)</f>
        <v/>
      </c>
      <c r="J138" s="11">
        <f>IF(F138="","",ROUND(F138*I138,2))</f>
        <v/>
      </c>
      <c r="K138" s="11">
        <f>IF(F138="","",F138+H138-J138)</f>
        <v/>
      </c>
      <c r="L138" s="12">
        <f>IF(A138="","",ROUNDUP(MONTH(A138)/3,0))</f>
        <v/>
      </c>
      <c r="M138" s="12">
        <f>IF(A138="","",MONTH(A138))</f>
        <v/>
      </c>
      <c r="N138" s="5" t="n"/>
    </row>
    <row r="139">
      <c r="A139" s="9" t="n"/>
      <c r="B139" s="5" t="n"/>
      <c r="C139" s="5" t="n"/>
      <c r="D139" s="5" t="n"/>
      <c r="E139" s="5" t="n"/>
      <c r="F139" s="10" t="n"/>
      <c r="G139" s="6">
        <f>IF(F139="","",Config!$B$9)</f>
        <v/>
      </c>
      <c r="H139" s="11">
        <f>IF(F139="","",ROUND(F139*G139,2))</f>
        <v/>
      </c>
      <c r="I139" s="6">
        <f>IF(F139="","",Config!$B$10)</f>
        <v/>
      </c>
      <c r="J139" s="11">
        <f>IF(F139="","",ROUND(F139*I139,2))</f>
        <v/>
      </c>
      <c r="K139" s="11">
        <f>IF(F139="","",F139+H139-J139)</f>
        <v/>
      </c>
      <c r="L139" s="12">
        <f>IF(A139="","",ROUNDUP(MONTH(A139)/3,0))</f>
        <v/>
      </c>
      <c r="M139" s="12">
        <f>IF(A139="","",MONTH(A139))</f>
        <v/>
      </c>
      <c r="N139" s="5" t="n"/>
    </row>
    <row r="140">
      <c r="A140" s="9" t="n"/>
      <c r="B140" s="5" t="n"/>
      <c r="C140" s="5" t="n"/>
      <c r="D140" s="5" t="n"/>
      <c r="E140" s="5" t="n"/>
      <c r="F140" s="10" t="n"/>
      <c r="G140" s="6">
        <f>IF(F140="","",Config!$B$9)</f>
        <v/>
      </c>
      <c r="H140" s="11">
        <f>IF(F140="","",ROUND(F140*G140,2))</f>
        <v/>
      </c>
      <c r="I140" s="6">
        <f>IF(F140="","",Config!$B$10)</f>
        <v/>
      </c>
      <c r="J140" s="11">
        <f>IF(F140="","",ROUND(F140*I140,2))</f>
        <v/>
      </c>
      <c r="K140" s="11">
        <f>IF(F140="","",F140+H140-J140)</f>
        <v/>
      </c>
      <c r="L140" s="12">
        <f>IF(A140="","",ROUNDUP(MONTH(A140)/3,0))</f>
        <v/>
      </c>
      <c r="M140" s="12">
        <f>IF(A140="","",MONTH(A140))</f>
        <v/>
      </c>
      <c r="N140" s="5" t="n"/>
    </row>
    <row r="141">
      <c r="A141" s="9" t="n"/>
      <c r="B141" s="5" t="n"/>
      <c r="C141" s="5" t="n"/>
      <c r="D141" s="5" t="n"/>
      <c r="E141" s="5" t="n"/>
      <c r="F141" s="10" t="n"/>
      <c r="G141" s="6">
        <f>IF(F141="","",Config!$B$9)</f>
        <v/>
      </c>
      <c r="H141" s="11">
        <f>IF(F141="","",ROUND(F141*G141,2))</f>
        <v/>
      </c>
      <c r="I141" s="6">
        <f>IF(F141="","",Config!$B$10)</f>
        <v/>
      </c>
      <c r="J141" s="11">
        <f>IF(F141="","",ROUND(F141*I141,2))</f>
        <v/>
      </c>
      <c r="K141" s="11">
        <f>IF(F141="","",F141+H141-J141)</f>
        <v/>
      </c>
      <c r="L141" s="12">
        <f>IF(A141="","",ROUNDUP(MONTH(A141)/3,0))</f>
        <v/>
      </c>
      <c r="M141" s="12">
        <f>IF(A141="","",MONTH(A141))</f>
        <v/>
      </c>
      <c r="N141" s="5" t="n"/>
    </row>
    <row r="142">
      <c r="A142" s="9" t="n"/>
      <c r="B142" s="5" t="n"/>
      <c r="C142" s="5" t="n"/>
      <c r="D142" s="5" t="n"/>
      <c r="E142" s="5" t="n"/>
      <c r="F142" s="10" t="n"/>
      <c r="G142" s="6">
        <f>IF(F142="","",Config!$B$9)</f>
        <v/>
      </c>
      <c r="H142" s="11">
        <f>IF(F142="","",ROUND(F142*G142,2))</f>
        <v/>
      </c>
      <c r="I142" s="6">
        <f>IF(F142="","",Config!$B$10)</f>
        <v/>
      </c>
      <c r="J142" s="11">
        <f>IF(F142="","",ROUND(F142*I142,2))</f>
        <v/>
      </c>
      <c r="K142" s="11">
        <f>IF(F142="","",F142+H142-J142)</f>
        <v/>
      </c>
      <c r="L142" s="12">
        <f>IF(A142="","",ROUNDUP(MONTH(A142)/3,0))</f>
        <v/>
      </c>
      <c r="M142" s="12">
        <f>IF(A142="","",MONTH(A142))</f>
        <v/>
      </c>
      <c r="N142" s="5" t="n"/>
    </row>
    <row r="143">
      <c r="A143" s="9" t="n"/>
      <c r="B143" s="5" t="n"/>
      <c r="C143" s="5" t="n"/>
      <c r="D143" s="5" t="n"/>
      <c r="E143" s="5" t="n"/>
      <c r="F143" s="10" t="n"/>
      <c r="G143" s="6">
        <f>IF(F143="","",Config!$B$9)</f>
        <v/>
      </c>
      <c r="H143" s="11">
        <f>IF(F143="","",ROUND(F143*G143,2))</f>
        <v/>
      </c>
      <c r="I143" s="6">
        <f>IF(F143="","",Config!$B$10)</f>
        <v/>
      </c>
      <c r="J143" s="11">
        <f>IF(F143="","",ROUND(F143*I143,2))</f>
        <v/>
      </c>
      <c r="K143" s="11">
        <f>IF(F143="","",F143+H143-J143)</f>
        <v/>
      </c>
      <c r="L143" s="12">
        <f>IF(A143="","",ROUNDUP(MONTH(A143)/3,0))</f>
        <v/>
      </c>
      <c r="M143" s="12">
        <f>IF(A143="","",MONTH(A143))</f>
        <v/>
      </c>
      <c r="N143" s="5" t="n"/>
    </row>
    <row r="144">
      <c r="A144" s="9" t="n"/>
      <c r="B144" s="5" t="n"/>
      <c r="C144" s="5" t="n"/>
      <c r="D144" s="5" t="n"/>
      <c r="E144" s="5" t="n"/>
      <c r="F144" s="10" t="n"/>
      <c r="G144" s="6">
        <f>IF(F144="","",Config!$B$9)</f>
        <v/>
      </c>
      <c r="H144" s="11">
        <f>IF(F144="","",ROUND(F144*G144,2))</f>
        <v/>
      </c>
      <c r="I144" s="6">
        <f>IF(F144="","",Config!$B$10)</f>
        <v/>
      </c>
      <c r="J144" s="11">
        <f>IF(F144="","",ROUND(F144*I144,2))</f>
        <v/>
      </c>
      <c r="K144" s="11">
        <f>IF(F144="","",F144+H144-J144)</f>
        <v/>
      </c>
      <c r="L144" s="12">
        <f>IF(A144="","",ROUNDUP(MONTH(A144)/3,0))</f>
        <v/>
      </c>
      <c r="M144" s="12">
        <f>IF(A144="","",MONTH(A144))</f>
        <v/>
      </c>
      <c r="N144" s="5" t="n"/>
    </row>
    <row r="145">
      <c r="A145" s="9" t="n"/>
      <c r="B145" s="5" t="n"/>
      <c r="C145" s="5" t="n"/>
      <c r="D145" s="5" t="n"/>
      <c r="E145" s="5" t="n"/>
      <c r="F145" s="10" t="n"/>
      <c r="G145" s="6">
        <f>IF(F145="","",Config!$B$9)</f>
        <v/>
      </c>
      <c r="H145" s="11">
        <f>IF(F145="","",ROUND(F145*G145,2))</f>
        <v/>
      </c>
      <c r="I145" s="6">
        <f>IF(F145="","",Config!$B$10)</f>
        <v/>
      </c>
      <c r="J145" s="11">
        <f>IF(F145="","",ROUND(F145*I145,2))</f>
        <v/>
      </c>
      <c r="K145" s="11">
        <f>IF(F145="","",F145+H145-J145)</f>
        <v/>
      </c>
      <c r="L145" s="12">
        <f>IF(A145="","",ROUNDUP(MONTH(A145)/3,0))</f>
        <v/>
      </c>
      <c r="M145" s="12">
        <f>IF(A145="","",MONTH(A145))</f>
        <v/>
      </c>
      <c r="N145" s="5" t="n"/>
    </row>
    <row r="146">
      <c r="A146" s="9" t="n"/>
      <c r="B146" s="5" t="n"/>
      <c r="C146" s="5" t="n"/>
      <c r="D146" s="5" t="n"/>
      <c r="E146" s="5" t="n"/>
      <c r="F146" s="10" t="n"/>
      <c r="G146" s="6">
        <f>IF(F146="","",Config!$B$9)</f>
        <v/>
      </c>
      <c r="H146" s="11">
        <f>IF(F146="","",ROUND(F146*G146,2))</f>
        <v/>
      </c>
      <c r="I146" s="6">
        <f>IF(F146="","",Config!$B$10)</f>
        <v/>
      </c>
      <c r="J146" s="11">
        <f>IF(F146="","",ROUND(F146*I146,2))</f>
        <v/>
      </c>
      <c r="K146" s="11">
        <f>IF(F146="","",F146+H146-J146)</f>
        <v/>
      </c>
      <c r="L146" s="12">
        <f>IF(A146="","",ROUNDUP(MONTH(A146)/3,0))</f>
        <v/>
      </c>
      <c r="M146" s="12">
        <f>IF(A146="","",MONTH(A146))</f>
        <v/>
      </c>
      <c r="N146" s="5" t="n"/>
    </row>
    <row r="147">
      <c r="A147" s="9" t="n"/>
      <c r="B147" s="5" t="n"/>
      <c r="C147" s="5" t="n"/>
      <c r="D147" s="5" t="n"/>
      <c r="E147" s="5" t="n"/>
      <c r="F147" s="10" t="n"/>
      <c r="G147" s="6">
        <f>IF(F147="","",Config!$B$9)</f>
        <v/>
      </c>
      <c r="H147" s="11">
        <f>IF(F147="","",ROUND(F147*G147,2))</f>
        <v/>
      </c>
      <c r="I147" s="6">
        <f>IF(F147="","",Config!$B$10)</f>
        <v/>
      </c>
      <c r="J147" s="11">
        <f>IF(F147="","",ROUND(F147*I147,2))</f>
        <v/>
      </c>
      <c r="K147" s="11">
        <f>IF(F147="","",F147+H147-J147)</f>
        <v/>
      </c>
      <c r="L147" s="12">
        <f>IF(A147="","",ROUNDUP(MONTH(A147)/3,0))</f>
        <v/>
      </c>
      <c r="M147" s="12">
        <f>IF(A147="","",MONTH(A147))</f>
        <v/>
      </c>
      <c r="N147" s="5" t="n"/>
    </row>
    <row r="148">
      <c r="A148" s="9" t="n"/>
      <c r="B148" s="5" t="n"/>
      <c r="C148" s="5" t="n"/>
      <c r="D148" s="5" t="n"/>
      <c r="E148" s="5" t="n"/>
      <c r="F148" s="10" t="n"/>
      <c r="G148" s="6">
        <f>IF(F148="","",Config!$B$9)</f>
        <v/>
      </c>
      <c r="H148" s="11">
        <f>IF(F148="","",ROUND(F148*G148,2))</f>
        <v/>
      </c>
      <c r="I148" s="6">
        <f>IF(F148="","",Config!$B$10)</f>
        <v/>
      </c>
      <c r="J148" s="11">
        <f>IF(F148="","",ROUND(F148*I148,2))</f>
        <v/>
      </c>
      <c r="K148" s="11">
        <f>IF(F148="","",F148+H148-J148)</f>
        <v/>
      </c>
      <c r="L148" s="12">
        <f>IF(A148="","",ROUNDUP(MONTH(A148)/3,0))</f>
        <v/>
      </c>
      <c r="M148" s="12">
        <f>IF(A148="","",MONTH(A148))</f>
        <v/>
      </c>
      <c r="N148" s="5" t="n"/>
    </row>
    <row r="149">
      <c r="A149" s="9" t="n"/>
      <c r="B149" s="5" t="n"/>
      <c r="C149" s="5" t="n"/>
      <c r="D149" s="5" t="n"/>
      <c r="E149" s="5" t="n"/>
      <c r="F149" s="10" t="n"/>
      <c r="G149" s="6">
        <f>IF(F149="","",Config!$B$9)</f>
        <v/>
      </c>
      <c r="H149" s="11">
        <f>IF(F149="","",ROUND(F149*G149,2))</f>
        <v/>
      </c>
      <c r="I149" s="6">
        <f>IF(F149="","",Config!$B$10)</f>
        <v/>
      </c>
      <c r="J149" s="11">
        <f>IF(F149="","",ROUND(F149*I149,2))</f>
        <v/>
      </c>
      <c r="K149" s="11">
        <f>IF(F149="","",F149+H149-J149)</f>
        <v/>
      </c>
      <c r="L149" s="12">
        <f>IF(A149="","",ROUNDUP(MONTH(A149)/3,0))</f>
        <v/>
      </c>
      <c r="M149" s="12">
        <f>IF(A149="","",MONTH(A149))</f>
        <v/>
      </c>
      <c r="N149" s="5" t="n"/>
    </row>
    <row r="150">
      <c r="A150" s="9" t="n"/>
      <c r="B150" s="5" t="n"/>
      <c r="C150" s="5" t="n"/>
      <c r="D150" s="5" t="n"/>
      <c r="E150" s="5" t="n"/>
      <c r="F150" s="10" t="n"/>
      <c r="G150" s="6">
        <f>IF(F150="","",Config!$B$9)</f>
        <v/>
      </c>
      <c r="H150" s="11">
        <f>IF(F150="","",ROUND(F150*G150,2))</f>
        <v/>
      </c>
      <c r="I150" s="6">
        <f>IF(F150="","",Config!$B$10)</f>
        <v/>
      </c>
      <c r="J150" s="11">
        <f>IF(F150="","",ROUND(F150*I150,2))</f>
        <v/>
      </c>
      <c r="K150" s="11">
        <f>IF(F150="","",F150+H150-J150)</f>
        <v/>
      </c>
      <c r="L150" s="12">
        <f>IF(A150="","",ROUNDUP(MONTH(A150)/3,0))</f>
        <v/>
      </c>
      <c r="M150" s="12">
        <f>IF(A150="","",MONTH(A150))</f>
        <v/>
      </c>
      <c r="N150" s="5" t="n"/>
    </row>
    <row r="151">
      <c r="A151" s="9" t="n"/>
      <c r="B151" s="5" t="n"/>
      <c r="C151" s="5" t="n"/>
      <c r="D151" s="5" t="n"/>
      <c r="E151" s="5" t="n"/>
      <c r="F151" s="10" t="n"/>
      <c r="G151" s="6">
        <f>IF(F151="","",Config!$B$9)</f>
        <v/>
      </c>
      <c r="H151" s="11">
        <f>IF(F151="","",ROUND(F151*G151,2))</f>
        <v/>
      </c>
      <c r="I151" s="6">
        <f>IF(F151="","",Config!$B$10)</f>
        <v/>
      </c>
      <c r="J151" s="11">
        <f>IF(F151="","",ROUND(F151*I151,2))</f>
        <v/>
      </c>
      <c r="K151" s="11">
        <f>IF(F151="","",F151+H151-J151)</f>
        <v/>
      </c>
      <c r="L151" s="12">
        <f>IF(A151="","",ROUNDUP(MONTH(A151)/3,0))</f>
        <v/>
      </c>
      <c r="M151" s="12">
        <f>IF(A151="","",MONTH(A151))</f>
        <v/>
      </c>
      <c r="N151" s="5" t="n"/>
    </row>
    <row r="152">
      <c r="A152" s="9" t="n"/>
      <c r="B152" s="5" t="n"/>
      <c r="C152" s="5" t="n"/>
      <c r="D152" s="5" t="n"/>
      <c r="E152" s="5" t="n"/>
      <c r="F152" s="10" t="n"/>
      <c r="G152" s="6">
        <f>IF(F152="","",Config!$B$9)</f>
        <v/>
      </c>
      <c r="H152" s="11">
        <f>IF(F152="","",ROUND(F152*G152,2))</f>
        <v/>
      </c>
      <c r="I152" s="6">
        <f>IF(F152="","",Config!$B$10)</f>
        <v/>
      </c>
      <c r="J152" s="11">
        <f>IF(F152="","",ROUND(F152*I152,2))</f>
        <v/>
      </c>
      <c r="K152" s="11">
        <f>IF(F152="","",F152+H152-J152)</f>
        <v/>
      </c>
      <c r="L152" s="12">
        <f>IF(A152="","",ROUNDUP(MONTH(A152)/3,0))</f>
        <v/>
      </c>
      <c r="M152" s="12">
        <f>IF(A152="","",MONTH(A152))</f>
        <v/>
      </c>
      <c r="N152" s="5" t="n"/>
    </row>
    <row r="153">
      <c r="A153" s="9" t="n"/>
      <c r="B153" s="5" t="n"/>
      <c r="C153" s="5" t="n"/>
      <c r="D153" s="5" t="n"/>
      <c r="E153" s="5" t="n"/>
      <c r="F153" s="10" t="n"/>
      <c r="G153" s="6">
        <f>IF(F153="","",Config!$B$9)</f>
        <v/>
      </c>
      <c r="H153" s="11">
        <f>IF(F153="","",ROUND(F153*G153,2))</f>
        <v/>
      </c>
      <c r="I153" s="6">
        <f>IF(F153="","",Config!$B$10)</f>
        <v/>
      </c>
      <c r="J153" s="11">
        <f>IF(F153="","",ROUND(F153*I153,2))</f>
        <v/>
      </c>
      <c r="K153" s="11">
        <f>IF(F153="","",F153+H153-J153)</f>
        <v/>
      </c>
      <c r="L153" s="12">
        <f>IF(A153="","",ROUNDUP(MONTH(A153)/3,0))</f>
        <v/>
      </c>
      <c r="M153" s="12">
        <f>IF(A153="","",MONTH(A153))</f>
        <v/>
      </c>
      <c r="N153" s="5" t="n"/>
    </row>
    <row r="154">
      <c r="A154" s="9" t="n"/>
      <c r="B154" s="5" t="n"/>
      <c r="C154" s="5" t="n"/>
      <c r="D154" s="5" t="n"/>
      <c r="E154" s="5" t="n"/>
      <c r="F154" s="10" t="n"/>
      <c r="G154" s="6">
        <f>IF(F154="","",Config!$B$9)</f>
        <v/>
      </c>
      <c r="H154" s="11">
        <f>IF(F154="","",ROUND(F154*G154,2))</f>
        <v/>
      </c>
      <c r="I154" s="6">
        <f>IF(F154="","",Config!$B$10)</f>
        <v/>
      </c>
      <c r="J154" s="11">
        <f>IF(F154="","",ROUND(F154*I154,2))</f>
        <v/>
      </c>
      <c r="K154" s="11">
        <f>IF(F154="","",F154+H154-J154)</f>
        <v/>
      </c>
      <c r="L154" s="12">
        <f>IF(A154="","",ROUNDUP(MONTH(A154)/3,0))</f>
        <v/>
      </c>
      <c r="M154" s="12">
        <f>IF(A154="","",MONTH(A154))</f>
        <v/>
      </c>
      <c r="N154" s="5" t="n"/>
    </row>
    <row r="155">
      <c r="A155" s="9" t="n"/>
      <c r="B155" s="5" t="n"/>
      <c r="C155" s="5" t="n"/>
      <c r="D155" s="5" t="n"/>
      <c r="E155" s="5" t="n"/>
      <c r="F155" s="10" t="n"/>
      <c r="G155" s="6">
        <f>IF(F155="","",Config!$B$9)</f>
        <v/>
      </c>
      <c r="H155" s="11">
        <f>IF(F155="","",ROUND(F155*G155,2))</f>
        <v/>
      </c>
      <c r="I155" s="6">
        <f>IF(F155="","",Config!$B$10)</f>
        <v/>
      </c>
      <c r="J155" s="11">
        <f>IF(F155="","",ROUND(F155*I155,2))</f>
        <v/>
      </c>
      <c r="K155" s="11">
        <f>IF(F155="","",F155+H155-J155)</f>
        <v/>
      </c>
      <c r="L155" s="12">
        <f>IF(A155="","",ROUNDUP(MONTH(A155)/3,0))</f>
        <v/>
      </c>
      <c r="M155" s="12">
        <f>IF(A155="","",MONTH(A155))</f>
        <v/>
      </c>
      <c r="N155" s="5" t="n"/>
    </row>
    <row r="156">
      <c r="A156" s="9" t="n"/>
      <c r="B156" s="5" t="n"/>
      <c r="C156" s="5" t="n"/>
      <c r="D156" s="5" t="n"/>
      <c r="E156" s="5" t="n"/>
      <c r="F156" s="10" t="n"/>
      <c r="G156" s="6">
        <f>IF(F156="","",Config!$B$9)</f>
        <v/>
      </c>
      <c r="H156" s="11">
        <f>IF(F156="","",ROUND(F156*G156,2))</f>
        <v/>
      </c>
      <c r="I156" s="6">
        <f>IF(F156="","",Config!$B$10)</f>
        <v/>
      </c>
      <c r="J156" s="11">
        <f>IF(F156="","",ROUND(F156*I156,2))</f>
        <v/>
      </c>
      <c r="K156" s="11">
        <f>IF(F156="","",F156+H156-J156)</f>
        <v/>
      </c>
      <c r="L156" s="12">
        <f>IF(A156="","",ROUNDUP(MONTH(A156)/3,0))</f>
        <v/>
      </c>
      <c r="M156" s="12">
        <f>IF(A156="","",MONTH(A156))</f>
        <v/>
      </c>
      <c r="N156" s="5" t="n"/>
    </row>
    <row r="157">
      <c r="A157" s="9" t="n"/>
      <c r="B157" s="5" t="n"/>
      <c r="C157" s="5" t="n"/>
      <c r="D157" s="5" t="n"/>
      <c r="E157" s="5" t="n"/>
      <c r="F157" s="10" t="n"/>
      <c r="G157" s="6">
        <f>IF(F157="","",Config!$B$9)</f>
        <v/>
      </c>
      <c r="H157" s="11">
        <f>IF(F157="","",ROUND(F157*G157,2))</f>
        <v/>
      </c>
      <c r="I157" s="6">
        <f>IF(F157="","",Config!$B$10)</f>
        <v/>
      </c>
      <c r="J157" s="11">
        <f>IF(F157="","",ROUND(F157*I157,2))</f>
        <v/>
      </c>
      <c r="K157" s="11">
        <f>IF(F157="","",F157+H157-J157)</f>
        <v/>
      </c>
      <c r="L157" s="12">
        <f>IF(A157="","",ROUNDUP(MONTH(A157)/3,0))</f>
        <v/>
      </c>
      <c r="M157" s="12">
        <f>IF(A157="","",MONTH(A157))</f>
        <v/>
      </c>
      <c r="N157" s="5" t="n"/>
    </row>
    <row r="158">
      <c r="A158" s="9" t="n"/>
      <c r="B158" s="5" t="n"/>
      <c r="C158" s="5" t="n"/>
      <c r="D158" s="5" t="n"/>
      <c r="E158" s="5" t="n"/>
      <c r="F158" s="10" t="n"/>
      <c r="G158" s="6">
        <f>IF(F158="","",Config!$B$9)</f>
        <v/>
      </c>
      <c r="H158" s="11">
        <f>IF(F158="","",ROUND(F158*G158,2))</f>
        <v/>
      </c>
      <c r="I158" s="6">
        <f>IF(F158="","",Config!$B$10)</f>
        <v/>
      </c>
      <c r="J158" s="11">
        <f>IF(F158="","",ROUND(F158*I158,2))</f>
        <v/>
      </c>
      <c r="K158" s="11">
        <f>IF(F158="","",F158+H158-J158)</f>
        <v/>
      </c>
      <c r="L158" s="12">
        <f>IF(A158="","",ROUNDUP(MONTH(A158)/3,0))</f>
        <v/>
      </c>
      <c r="M158" s="12">
        <f>IF(A158="","",MONTH(A158))</f>
        <v/>
      </c>
      <c r="N158" s="5" t="n"/>
    </row>
    <row r="159">
      <c r="A159" s="9" t="n"/>
      <c r="B159" s="5" t="n"/>
      <c r="C159" s="5" t="n"/>
      <c r="D159" s="5" t="n"/>
      <c r="E159" s="5" t="n"/>
      <c r="F159" s="10" t="n"/>
      <c r="G159" s="6">
        <f>IF(F159="","",Config!$B$9)</f>
        <v/>
      </c>
      <c r="H159" s="11">
        <f>IF(F159="","",ROUND(F159*G159,2))</f>
        <v/>
      </c>
      <c r="I159" s="6">
        <f>IF(F159="","",Config!$B$10)</f>
        <v/>
      </c>
      <c r="J159" s="11">
        <f>IF(F159="","",ROUND(F159*I159,2))</f>
        <v/>
      </c>
      <c r="K159" s="11">
        <f>IF(F159="","",F159+H159-J159)</f>
        <v/>
      </c>
      <c r="L159" s="12">
        <f>IF(A159="","",ROUNDUP(MONTH(A159)/3,0))</f>
        <v/>
      </c>
      <c r="M159" s="12">
        <f>IF(A159="","",MONTH(A159))</f>
        <v/>
      </c>
      <c r="N159" s="5" t="n"/>
    </row>
    <row r="160">
      <c r="A160" s="9" t="n"/>
      <c r="B160" s="5" t="n"/>
      <c r="C160" s="5" t="n"/>
      <c r="D160" s="5" t="n"/>
      <c r="E160" s="5" t="n"/>
      <c r="F160" s="10" t="n"/>
      <c r="G160" s="6">
        <f>IF(F160="","",Config!$B$9)</f>
        <v/>
      </c>
      <c r="H160" s="11">
        <f>IF(F160="","",ROUND(F160*G160,2))</f>
        <v/>
      </c>
      <c r="I160" s="6">
        <f>IF(F160="","",Config!$B$10)</f>
        <v/>
      </c>
      <c r="J160" s="11">
        <f>IF(F160="","",ROUND(F160*I160,2))</f>
        <v/>
      </c>
      <c r="K160" s="11">
        <f>IF(F160="","",F160+H160-J160)</f>
        <v/>
      </c>
      <c r="L160" s="12">
        <f>IF(A160="","",ROUNDUP(MONTH(A160)/3,0))</f>
        <v/>
      </c>
      <c r="M160" s="12">
        <f>IF(A160="","",MONTH(A160))</f>
        <v/>
      </c>
      <c r="N160" s="5" t="n"/>
    </row>
    <row r="161">
      <c r="A161" s="9" t="n"/>
      <c r="B161" s="5" t="n"/>
      <c r="C161" s="5" t="n"/>
      <c r="D161" s="5" t="n"/>
      <c r="E161" s="5" t="n"/>
      <c r="F161" s="10" t="n"/>
      <c r="G161" s="6">
        <f>IF(F161="","",Config!$B$9)</f>
        <v/>
      </c>
      <c r="H161" s="11">
        <f>IF(F161="","",ROUND(F161*G161,2))</f>
        <v/>
      </c>
      <c r="I161" s="6">
        <f>IF(F161="","",Config!$B$10)</f>
        <v/>
      </c>
      <c r="J161" s="11">
        <f>IF(F161="","",ROUND(F161*I161,2))</f>
        <v/>
      </c>
      <c r="K161" s="11">
        <f>IF(F161="","",F161+H161-J161)</f>
        <v/>
      </c>
      <c r="L161" s="12">
        <f>IF(A161="","",ROUNDUP(MONTH(A161)/3,0))</f>
        <v/>
      </c>
      <c r="M161" s="12">
        <f>IF(A161="","",MONTH(A161))</f>
        <v/>
      </c>
      <c r="N161" s="5" t="n"/>
    </row>
    <row r="162">
      <c r="A162" s="9" t="n"/>
      <c r="B162" s="5" t="n"/>
      <c r="C162" s="5" t="n"/>
      <c r="D162" s="5" t="n"/>
      <c r="E162" s="5" t="n"/>
      <c r="F162" s="10" t="n"/>
      <c r="G162" s="6">
        <f>IF(F162="","",Config!$B$9)</f>
        <v/>
      </c>
      <c r="H162" s="11">
        <f>IF(F162="","",ROUND(F162*G162,2))</f>
        <v/>
      </c>
      <c r="I162" s="6">
        <f>IF(F162="","",Config!$B$10)</f>
        <v/>
      </c>
      <c r="J162" s="11">
        <f>IF(F162="","",ROUND(F162*I162,2))</f>
        <v/>
      </c>
      <c r="K162" s="11">
        <f>IF(F162="","",F162+H162-J162)</f>
        <v/>
      </c>
      <c r="L162" s="12">
        <f>IF(A162="","",ROUNDUP(MONTH(A162)/3,0))</f>
        <v/>
      </c>
      <c r="M162" s="12">
        <f>IF(A162="","",MONTH(A162))</f>
        <v/>
      </c>
      <c r="N162" s="5" t="n"/>
    </row>
    <row r="163">
      <c r="A163" s="9" t="n"/>
      <c r="B163" s="5" t="n"/>
      <c r="C163" s="5" t="n"/>
      <c r="D163" s="5" t="n"/>
      <c r="E163" s="5" t="n"/>
      <c r="F163" s="10" t="n"/>
      <c r="G163" s="6">
        <f>IF(F163="","",Config!$B$9)</f>
        <v/>
      </c>
      <c r="H163" s="11">
        <f>IF(F163="","",ROUND(F163*G163,2))</f>
        <v/>
      </c>
      <c r="I163" s="6">
        <f>IF(F163="","",Config!$B$10)</f>
        <v/>
      </c>
      <c r="J163" s="11">
        <f>IF(F163="","",ROUND(F163*I163,2))</f>
        <v/>
      </c>
      <c r="K163" s="11">
        <f>IF(F163="","",F163+H163-J163)</f>
        <v/>
      </c>
      <c r="L163" s="12">
        <f>IF(A163="","",ROUNDUP(MONTH(A163)/3,0))</f>
        <v/>
      </c>
      <c r="M163" s="12">
        <f>IF(A163="","",MONTH(A163))</f>
        <v/>
      </c>
      <c r="N163" s="5" t="n"/>
    </row>
    <row r="164">
      <c r="A164" s="9" t="n"/>
      <c r="B164" s="5" t="n"/>
      <c r="C164" s="5" t="n"/>
      <c r="D164" s="5" t="n"/>
      <c r="E164" s="5" t="n"/>
      <c r="F164" s="10" t="n"/>
      <c r="G164" s="6">
        <f>IF(F164="","",Config!$B$9)</f>
        <v/>
      </c>
      <c r="H164" s="11">
        <f>IF(F164="","",ROUND(F164*G164,2))</f>
        <v/>
      </c>
      <c r="I164" s="6">
        <f>IF(F164="","",Config!$B$10)</f>
        <v/>
      </c>
      <c r="J164" s="11">
        <f>IF(F164="","",ROUND(F164*I164,2))</f>
        <v/>
      </c>
      <c r="K164" s="11">
        <f>IF(F164="","",F164+H164-J164)</f>
        <v/>
      </c>
      <c r="L164" s="12">
        <f>IF(A164="","",ROUNDUP(MONTH(A164)/3,0))</f>
        <v/>
      </c>
      <c r="M164" s="12">
        <f>IF(A164="","",MONTH(A164))</f>
        <v/>
      </c>
      <c r="N164" s="5" t="n"/>
    </row>
    <row r="165">
      <c r="A165" s="9" t="n"/>
      <c r="B165" s="5" t="n"/>
      <c r="C165" s="5" t="n"/>
      <c r="D165" s="5" t="n"/>
      <c r="E165" s="5" t="n"/>
      <c r="F165" s="10" t="n"/>
      <c r="G165" s="6">
        <f>IF(F165="","",Config!$B$9)</f>
        <v/>
      </c>
      <c r="H165" s="11">
        <f>IF(F165="","",ROUND(F165*G165,2))</f>
        <v/>
      </c>
      <c r="I165" s="6">
        <f>IF(F165="","",Config!$B$10)</f>
        <v/>
      </c>
      <c r="J165" s="11">
        <f>IF(F165="","",ROUND(F165*I165,2))</f>
        <v/>
      </c>
      <c r="K165" s="11">
        <f>IF(F165="","",F165+H165-J165)</f>
        <v/>
      </c>
      <c r="L165" s="12">
        <f>IF(A165="","",ROUNDUP(MONTH(A165)/3,0))</f>
        <v/>
      </c>
      <c r="M165" s="12">
        <f>IF(A165="","",MONTH(A165))</f>
        <v/>
      </c>
      <c r="N165" s="5" t="n"/>
    </row>
    <row r="166">
      <c r="A166" s="9" t="n"/>
      <c r="B166" s="5" t="n"/>
      <c r="C166" s="5" t="n"/>
      <c r="D166" s="5" t="n"/>
      <c r="E166" s="5" t="n"/>
      <c r="F166" s="10" t="n"/>
      <c r="G166" s="6">
        <f>IF(F166="","",Config!$B$9)</f>
        <v/>
      </c>
      <c r="H166" s="11">
        <f>IF(F166="","",ROUND(F166*G166,2))</f>
        <v/>
      </c>
      <c r="I166" s="6">
        <f>IF(F166="","",Config!$B$10)</f>
        <v/>
      </c>
      <c r="J166" s="11">
        <f>IF(F166="","",ROUND(F166*I166,2))</f>
        <v/>
      </c>
      <c r="K166" s="11">
        <f>IF(F166="","",F166+H166-J166)</f>
        <v/>
      </c>
      <c r="L166" s="12">
        <f>IF(A166="","",ROUNDUP(MONTH(A166)/3,0))</f>
        <v/>
      </c>
      <c r="M166" s="12">
        <f>IF(A166="","",MONTH(A166))</f>
        <v/>
      </c>
      <c r="N166" s="5" t="n"/>
    </row>
    <row r="167">
      <c r="A167" s="9" t="n"/>
      <c r="B167" s="5" t="n"/>
      <c r="C167" s="5" t="n"/>
      <c r="D167" s="5" t="n"/>
      <c r="E167" s="5" t="n"/>
      <c r="F167" s="10" t="n"/>
      <c r="G167" s="6">
        <f>IF(F167="","",Config!$B$9)</f>
        <v/>
      </c>
      <c r="H167" s="11">
        <f>IF(F167="","",ROUND(F167*G167,2))</f>
        <v/>
      </c>
      <c r="I167" s="6">
        <f>IF(F167="","",Config!$B$10)</f>
        <v/>
      </c>
      <c r="J167" s="11">
        <f>IF(F167="","",ROUND(F167*I167,2))</f>
        <v/>
      </c>
      <c r="K167" s="11">
        <f>IF(F167="","",F167+H167-J167)</f>
        <v/>
      </c>
      <c r="L167" s="12">
        <f>IF(A167="","",ROUNDUP(MONTH(A167)/3,0))</f>
        <v/>
      </c>
      <c r="M167" s="12">
        <f>IF(A167="","",MONTH(A167))</f>
        <v/>
      </c>
      <c r="N167" s="5" t="n"/>
    </row>
    <row r="168">
      <c r="A168" s="9" t="n"/>
      <c r="B168" s="5" t="n"/>
      <c r="C168" s="5" t="n"/>
      <c r="D168" s="5" t="n"/>
      <c r="E168" s="5" t="n"/>
      <c r="F168" s="10" t="n"/>
      <c r="G168" s="6">
        <f>IF(F168="","",Config!$B$9)</f>
        <v/>
      </c>
      <c r="H168" s="11">
        <f>IF(F168="","",ROUND(F168*G168,2))</f>
        <v/>
      </c>
      <c r="I168" s="6">
        <f>IF(F168="","",Config!$B$10)</f>
        <v/>
      </c>
      <c r="J168" s="11">
        <f>IF(F168="","",ROUND(F168*I168,2))</f>
        <v/>
      </c>
      <c r="K168" s="11">
        <f>IF(F168="","",F168+H168-J168)</f>
        <v/>
      </c>
      <c r="L168" s="12">
        <f>IF(A168="","",ROUNDUP(MONTH(A168)/3,0))</f>
        <v/>
      </c>
      <c r="M168" s="12">
        <f>IF(A168="","",MONTH(A168))</f>
        <v/>
      </c>
      <c r="N168" s="5" t="n"/>
    </row>
    <row r="169">
      <c r="A169" s="9" t="n"/>
      <c r="B169" s="5" t="n"/>
      <c r="C169" s="5" t="n"/>
      <c r="D169" s="5" t="n"/>
      <c r="E169" s="5" t="n"/>
      <c r="F169" s="10" t="n"/>
      <c r="G169" s="6">
        <f>IF(F169="","",Config!$B$9)</f>
        <v/>
      </c>
      <c r="H169" s="11">
        <f>IF(F169="","",ROUND(F169*G169,2))</f>
        <v/>
      </c>
      <c r="I169" s="6">
        <f>IF(F169="","",Config!$B$10)</f>
        <v/>
      </c>
      <c r="J169" s="11">
        <f>IF(F169="","",ROUND(F169*I169,2))</f>
        <v/>
      </c>
      <c r="K169" s="11">
        <f>IF(F169="","",F169+H169-J169)</f>
        <v/>
      </c>
      <c r="L169" s="12">
        <f>IF(A169="","",ROUNDUP(MONTH(A169)/3,0))</f>
        <v/>
      </c>
      <c r="M169" s="12">
        <f>IF(A169="","",MONTH(A169))</f>
        <v/>
      </c>
      <c r="N169" s="5" t="n"/>
    </row>
    <row r="170">
      <c r="A170" s="9" t="n"/>
      <c r="B170" s="5" t="n"/>
      <c r="C170" s="5" t="n"/>
      <c r="D170" s="5" t="n"/>
      <c r="E170" s="5" t="n"/>
      <c r="F170" s="10" t="n"/>
      <c r="G170" s="6">
        <f>IF(F170="","",Config!$B$9)</f>
        <v/>
      </c>
      <c r="H170" s="11">
        <f>IF(F170="","",ROUND(F170*G170,2))</f>
        <v/>
      </c>
      <c r="I170" s="6">
        <f>IF(F170="","",Config!$B$10)</f>
        <v/>
      </c>
      <c r="J170" s="11">
        <f>IF(F170="","",ROUND(F170*I170,2))</f>
        <v/>
      </c>
      <c r="K170" s="11">
        <f>IF(F170="","",F170+H170-J170)</f>
        <v/>
      </c>
      <c r="L170" s="12">
        <f>IF(A170="","",ROUNDUP(MONTH(A170)/3,0))</f>
        <v/>
      </c>
      <c r="M170" s="12">
        <f>IF(A170="","",MONTH(A170))</f>
        <v/>
      </c>
      <c r="N170" s="5" t="n"/>
    </row>
    <row r="171">
      <c r="A171" s="9" t="n"/>
      <c r="B171" s="5" t="n"/>
      <c r="C171" s="5" t="n"/>
      <c r="D171" s="5" t="n"/>
      <c r="E171" s="5" t="n"/>
      <c r="F171" s="10" t="n"/>
      <c r="G171" s="6">
        <f>IF(F171="","",Config!$B$9)</f>
        <v/>
      </c>
      <c r="H171" s="11">
        <f>IF(F171="","",ROUND(F171*G171,2))</f>
        <v/>
      </c>
      <c r="I171" s="6">
        <f>IF(F171="","",Config!$B$10)</f>
        <v/>
      </c>
      <c r="J171" s="11">
        <f>IF(F171="","",ROUND(F171*I171,2))</f>
        <v/>
      </c>
      <c r="K171" s="11">
        <f>IF(F171="","",F171+H171-J171)</f>
        <v/>
      </c>
      <c r="L171" s="12">
        <f>IF(A171="","",ROUNDUP(MONTH(A171)/3,0))</f>
        <v/>
      </c>
      <c r="M171" s="12">
        <f>IF(A171="","",MONTH(A171))</f>
        <v/>
      </c>
      <c r="N171" s="5" t="n"/>
    </row>
    <row r="172">
      <c r="A172" s="9" t="n"/>
      <c r="B172" s="5" t="n"/>
      <c r="C172" s="5" t="n"/>
      <c r="D172" s="5" t="n"/>
      <c r="E172" s="5" t="n"/>
      <c r="F172" s="10" t="n"/>
      <c r="G172" s="6">
        <f>IF(F172="","",Config!$B$9)</f>
        <v/>
      </c>
      <c r="H172" s="11">
        <f>IF(F172="","",ROUND(F172*G172,2))</f>
        <v/>
      </c>
      <c r="I172" s="6">
        <f>IF(F172="","",Config!$B$10)</f>
        <v/>
      </c>
      <c r="J172" s="11">
        <f>IF(F172="","",ROUND(F172*I172,2))</f>
        <v/>
      </c>
      <c r="K172" s="11">
        <f>IF(F172="","",F172+H172-J172)</f>
        <v/>
      </c>
      <c r="L172" s="12">
        <f>IF(A172="","",ROUNDUP(MONTH(A172)/3,0))</f>
        <v/>
      </c>
      <c r="M172" s="12">
        <f>IF(A172="","",MONTH(A172))</f>
        <v/>
      </c>
      <c r="N172" s="5" t="n"/>
    </row>
    <row r="173">
      <c r="A173" s="9" t="n"/>
      <c r="B173" s="5" t="n"/>
      <c r="C173" s="5" t="n"/>
      <c r="D173" s="5" t="n"/>
      <c r="E173" s="5" t="n"/>
      <c r="F173" s="10" t="n"/>
      <c r="G173" s="6">
        <f>IF(F173="","",Config!$B$9)</f>
        <v/>
      </c>
      <c r="H173" s="11">
        <f>IF(F173="","",ROUND(F173*G173,2))</f>
        <v/>
      </c>
      <c r="I173" s="6">
        <f>IF(F173="","",Config!$B$10)</f>
        <v/>
      </c>
      <c r="J173" s="11">
        <f>IF(F173="","",ROUND(F173*I173,2))</f>
        <v/>
      </c>
      <c r="K173" s="11">
        <f>IF(F173="","",F173+H173-J173)</f>
        <v/>
      </c>
      <c r="L173" s="12">
        <f>IF(A173="","",ROUNDUP(MONTH(A173)/3,0))</f>
        <v/>
      </c>
      <c r="M173" s="12">
        <f>IF(A173="","",MONTH(A173))</f>
        <v/>
      </c>
      <c r="N173" s="5" t="n"/>
    </row>
    <row r="174">
      <c r="A174" s="9" t="n"/>
      <c r="B174" s="5" t="n"/>
      <c r="C174" s="5" t="n"/>
      <c r="D174" s="5" t="n"/>
      <c r="E174" s="5" t="n"/>
      <c r="F174" s="10" t="n"/>
      <c r="G174" s="6">
        <f>IF(F174="","",Config!$B$9)</f>
        <v/>
      </c>
      <c r="H174" s="11">
        <f>IF(F174="","",ROUND(F174*G174,2))</f>
        <v/>
      </c>
      <c r="I174" s="6">
        <f>IF(F174="","",Config!$B$10)</f>
        <v/>
      </c>
      <c r="J174" s="11">
        <f>IF(F174="","",ROUND(F174*I174,2))</f>
        <v/>
      </c>
      <c r="K174" s="11">
        <f>IF(F174="","",F174+H174-J174)</f>
        <v/>
      </c>
      <c r="L174" s="12">
        <f>IF(A174="","",ROUNDUP(MONTH(A174)/3,0))</f>
        <v/>
      </c>
      <c r="M174" s="12">
        <f>IF(A174="","",MONTH(A174))</f>
        <v/>
      </c>
      <c r="N174" s="5" t="n"/>
    </row>
    <row r="175">
      <c r="A175" s="9" t="n"/>
      <c r="B175" s="5" t="n"/>
      <c r="C175" s="5" t="n"/>
      <c r="D175" s="5" t="n"/>
      <c r="E175" s="5" t="n"/>
      <c r="F175" s="10" t="n"/>
      <c r="G175" s="6">
        <f>IF(F175="","",Config!$B$9)</f>
        <v/>
      </c>
      <c r="H175" s="11">
        <f>IF(F175="","",ROUND(F175*G175,2))</f>
        <v/>
      </c>
      <c r="I175" s="6">
        <f>IF(F175="","",Config!$B$10)</f>
        <v/>
      </c>
      <c r="J175" s="11">
        <f>IF(F175="","",ROUND(F175*I175,2))</f>
        <v/>
      </c>
      <c r="K175" s="11">
        <f>IF(F175="","",F175+H175-J175)</f>
        <v/>
      </c>
      <c r="L175" s="12">
        <f>IF(A175="","",ROUNDUP(MONTH(A175)/3,0))</f>
        <v/>
      </c>
      <c r="M175" s="12">
        <f>IF(A175="","",MONTH(A175))</f>
        <v/>
      </c>
      <c r="N175" s="5" t="n"/>
    </row>
    <row r="176">
      <c r="A176" s="9" t="n"/>
      <c r="B176" s="5" t="n"/>
      <c r="C176" s="5" t="n"/>
      <c r="D176" s="5" t="n"/>
      <c r="E176" s="5" t="n"/>
      <c r="F176" s="10" t="n"/>
      <c r="G176" s="6">
        <f>IF(F176="","",Config!$B$9)</f>
        <v/>
      </c>
      <c r="H176" s="11">
        <f>IF(F176="","",ROUND(F176*G176,2))</f>
        <v/>
      </c>
      <c r="I176" s="6">
        <f>IF(F176="","",Config!$B$10)</f>
        <v/>
      </c>
      <c r="J176" s="11">
        <f>IF(F176="","",ROUND(F176*I176,2))</f>
        <v/>
      </c>
      <c r="K176" s="11">
        <f>IF(F176="","",F176+H176-J176)</f>
        <v/>
      </c>
      <c r="L176" s="12">
        <f>IF(A176="","",ROUNDUP(MONTH(A176)/3,0))</f>
        <v/>
      </c>
      <c r="M176" s="12">
        <f>IF(A176="","",MONTH(A176))</f>
        <v/>
      </c>
      <c r="N176" s="5" t="n"/>
    </row>
    <row r="177">
      <c r="A177" s="9" t="n"/>
      <c r="B177" s="5" t="n"/>
      <c r="C177" s="5" t="n"/>
      <c r="D177" s="5" t="n"/>
      <c r="E177" s="5" t="n"/>
      <c r="F177" s="10" t="n"/>
      <c r="G177" s="6">
        <f>IF(F177="","",Config!$B$9)</f>
        <v/>
      </c>
      <c r="H177" s="11">
        <f>IF(F177="","",ROUND(F177*G177,2))</f>
        <v/>
      </c>
      <c r="I177" s="6">
        <f>IF(F177="","",Config!$B$10)</f>
        <v/>
      </c>
      <c r="J177" s="11">
        <f>IF(F177="","",ROUND(F177*I177,2))</f>
        <v/>
      </c>
      <c r="K177" s="11">
        <f>IF(F177="","",F177+H177-J177)</f>
        <v/>
      </c>
      <c r="L177" s="12">
        <f>IF(A177="","",ROUNDUP(MONTH(A177)/3,0))</f>
        <v/>
      </c>
      <c r="M177" s="12">
        <f>IF(A177="","",MONTH(A177))</f>
        <v/>
      </c>
      <c r="N177" s="5" t="n"/>
    </row>
    <row r="178">
      <c r="A178" s="9" t="n"/>
      <c r="B178" s="5" t="n"/>
      <c r="C178" s="5" t="n"/>
      <c r="D178" s="5" t="n"/>
      <c r="E178" s="5" t="n"/>
      <c r="F178" s="10" t="n"/>
      <c r="G178" s="6">
        <f>IF(F178="","",Config!$B$9)</f>
        <v/>
      </c>
      <c r="H178" s="11">
        <f>IF(F178="","",ROUND(F178*G178,2))</f>
        <v/>
      </c>
      <c r="I178" s="6">
        <f>IF(F178="","",Config!$B$10)</f>
        <v/>
      </c>
      <c r="J178" s="11">
        <f>IF(F178="","",ROUND(F178*I178,2))</f>
        <v/>
      </c>
      <c r="K178" s="11">
        <f>IF(F178="","",F178+H178-J178)</f>
        <v/>
      </c>
      <c r="L178" s="12">
        <f>IF(A178="","",ROUNDUP(MONTH(A178)/3,0))</f>
        <v/>
      </c>
      <c r="M178" s="12">
        <f>IF(A178="","",MONTH(A178))</f>
        <v/>
      </c>
      <c r="N178" s="5" t="n"/>
    </row>
    <row r="179">
      <c r="A179" s="9" t="n"/>
      <c r="B179" s="5" t="n"/>
      <c r="C179" s="5" t="n"/>
      <c r="D179" s="5" t="n"/>
      <c r="E179" s="5" t="n"/>
      <c r="F179" s="10" t="n"/>
      <c r="G179" s="6">
        <f>IF(F179="","",Config!$B$9)</f>
        <v/>
      </c>
      <c r="H179" s="11">
        <f>IF(F179="","",ROUND(F179*G179,2))</f>
        <v/>
      </c>
      <c r="I179" s="6">
        <f>IF(F179="","",Config!$B$10)</f>
        <v/>
      </c>
      <c r="J179" s="11">
        <f>IF(F179="","",ROUND(F179*I179,2))</f>
        <v/>
      </c>
      <c r="K179" s="11">
        <f>IF(F179="","",F179+H179-J179)</f>
        <v/>
      </c>
      <c r="L179" s="12">
        <f>IF(A179="","",ROUNDUP(MONTH(A179)/3,0))</f>
        <v/>
      </c>
      <c r="M179" s="12">
        <f>IF(A179="","",MONTH(A179))</f>
        <v/>
      </c>
      <c r="N179" s="5" t="n"/>
    </row>
    <row r="180">
      <c r="A180" s="9" t="n"/>
      <c r="B180" s="5" t="n"/>
      <c r="C180" s="5" t="n"/>
      <c r="D180" s="5" t="n"/>
      <c r="E180" s="5" t="n"/>
      <c r="F180" s="10" t="n"/>
      <c r="G180" s="6">
        <f>IF(F180="","",Config!$B$9)</f>
        <v/>
      </c>
      <c r="H180" s="11">
        <f>IF(F180="","",ROUND(F180*G180,2))</f>
        <v/>
      </c>
      <c r="I180" s="6">
        <f>IF(F180="","",Config!$B$10)</f>
        <v/>
      </c>
      <c r="J180" s="11">
        <f>IF(F180="","",ROUND(F180*I180,2))</f>
        <v/>
      </c>
      <c r="K180" s="11">
        <f>IF(F180="","",F180+H180-J180)</f>
        <v/>
      </c>
      <c r="L180" s="12">
        <f>IF(A180="","",ROUNDUP(MONTH(A180)/3,0))</f>
        <v/>
      </c>
      <c r="M180" s="12">
        <f>IF(A180="","",MONTH(A180))</f>
        <v/>
      </c>
      <c r="N180" s="5" t="n"/>
    </row>
    <row r="181">
      <c r="A181" s="9" t="n"/>
      <c r="B181" s="5" t="n"/>
      <c r="C181" s="5" t="n"/>
      <c r="D181" s="5" t="n"/>
      <c r="E181" s="5" t="n"/>
      <c r="F181" s="10" t="n"/>
      <c r="G181" s="6">
        <f>IF(F181="","",Config!$B$9)</f>
        <v/>
      </c>
      <c r="H181" s="11">
        <f>IF(F181="","",ROUND(F181*G181,2))</f>
        <v/>
      </c>
      <c r="I181" s="6">
        <f>IF(F181="","",Config!$B$10)</f>
        <v/>
      </c>
      <c r="J181" s="11">
        <f>IF(F181="","",ROUND(F181*I181,2))</f>
        <v/>
      </c>
      <c r="K181" s="11">
        <f>IF(F181="","",F181+H181-J181)</f>
        <v/>
      </c>
      <c r="L181" s="12">
        <f>IF(A181="","",ROUNDUP(MONTH(A181)/3,0))</f>
        <v/>
      </c>
      <c r="M181" s="12">
        <f>IF(A181="","",MONTH(A181))</f>
        <v/>
      </c>
      <c r="N181" s="5" t="n"/>
    </row>
    <row r="182">
      <c r="A182" s="9" t="n"/>
      <c r="B182" s="5" t="n"/>
      <c r="C182" s="5" t="n"/>
      <c r="D182" s="5" t="n"/>
      <c r="E182" s="5" t="n"/>
      <c r="F182" s="10" t="n"/>
      <c r="G182" s="6">
        <f>IF(F182="","",Config!$B$9)</f>
        <v/>
      </c>
      <c r="H182" s="11">
        <f>IF(F182="","",ROUND(F182*G182,2))</f>
        <v/>
      </c>
      <c r="I182" s="6">
        <f>IF(F182="","",Config!$B$10)</f>
        <v/>
      </c>
      <c r="J182" s="11">
        <f>IF(F182="","",ROUND(F182*I182,2))</f>
        <v/>
      </c>
      <c r="K182" s="11">
        <f>IF(F182="","",F182+H182-J182)</f>
        <v/>
      </c>
      <c r="L182" s="12">
        <f>IF(A182="","",ROUNDUP(MONTH(A182)/3,0))</f>
        <v/>
      </c>
      <c r="M182" s="12">
        <f>IF(A182="","",MONTH(A182))</f>
        <v/>
      </c>
      <c r="N182" s="5" t="n"/>
    </row>
    <row r="183">
      <c r="A183" s="9" t="n"/>
      <c r="B183" s="5" t="n"/>
      <c r="C183" s="5" t="n"/>
      <c r="D183" s="5" t="n"/>
      <c r="E183" s="5" t="n"/>
      <c r="F183" s="10" t="n"/>
      <c r="G183" s="6">
        <f>IF(F183="","",Config!$B$9)</f>
        <v/>
      </c>
      <c r="H183" s="11">
        <f>IF(F183="","",ROUND(F183*G183,2))</f>
        <v/>
      </c>
      <c r="I183" s="6">
        <f>IF(F183="","",Config!$B$10)</f>
        <v/>
      </c>
      <c r="J183" s="11">
        <f>IF(F183="","",ROUND(F183*I183,2))</f>
        <v/>
      </c>
      <c r="K183" s="11">
        <f>IF(F183="","",F183+H183-J183)</f>
        <v/>
      </c>
      <c r="L183" s="12">
        <f>IF(A183="","",ROUNDUP(MONTH(A183)/3,0))</f>
        <v/>
      </c>
      <c r="M183" s="12">
        <f>IF(A183="","",MONTH(A183))</f>
        <v/>
      </c>
      <c r="N183" s="5" t="n"/>
    </row>
    <row r="184">
      <c r="A184" s="9" t="n"/>
      <c r="B184" s="5" t="n"/>
      <c r="C184" s="5" t="n"/>
      <c r="D184" s="5" t="n"/>
      <c r="E184" s="5" t="n"/>
      <c r="F184" s="10" t="n"/>
      <c r="G184" s="6">
        <f>IF(F184="","",Config!$B$9)</f>
        <v/>
      </c>
      <c r="H184" s="11">
        <f>IF(F184="","",ROUND(F184*G184,2))</f>
        <v/>
      </c>
      <c r="I184" s="6">
        <f>IF(F184="","",Config!$B$10)</f>
        <v/>
      </c>
      <c r="J184" s="11">
        <f>IF(F184="","",ROUND(F184*I184,2))</f>
        <v/>
      </c>
      <c r="K184" s="11">
        <f>IF(F184="","",F184+H184-J184)</f>
        <v/>
      </c>
      <c r="L184" s="12">
        <f>IF(A184="","",ROUNDUP(MONTH(A184)/3,0))</f>
        <v/>
      </c>
      <c r="M184" s="12">
        <f>IF(A184="","",MONTH(A184))</f>
        <v/>
      </c>
      <c r="N184" s="5" t="n"/>
    </row>
    <row r="185">
      <c r="A185" s="9" t="n"/>
      <c r="B185" s="5" t="n"/>
      <c r="C185" s="5" t="n"/>
      <c r="D185" s="5" t="n"/>
      <c r="E185" s="5" t="n"/>
      <c r="F185" s="10" t="n"/>
      <c r="G185" s="6">
        <f>IF(F185="","",Config!$B$9)</f>
        <v/>
      </c>
      <c r="H185" s="11">
        <f>IF(F185="","",ROUND(F185*G185,2))</f>
        <v/>
      </c>
      <c r="I185" s="6">
        <f>IF(F185="","",Config!$B$10)</f>
        <v/>
      </c>
      <c r="J185" s="11">
        <f>IF(F185="","",ROUND(F185*I185,2))</f>
        <v/>
      </c>
      <c r="K185" s="11">
        <f>IF(F185="","",F185+H185-J185)</f>
        <v/>
      </c>
      <c r="L185" s="12">
        <f>IF(A185="","",ROUNDUP(MONTH(A185)/3,0))</f>
        <v/>
      </c>
      <c r="M185" s="12">
        <f>IF(A185="","",MONTH(A185))</f>
        <v/>
      </c>
      <c r="N185" s="5" t="n"/>
    </row>
    <row r="186">
      <c r="A186" s="9" t="n"/>
      <c r="B186" s="5" t="n"/>
      <c r="C186" s="5" t="n"/>
      <c r="D186" s="5" t="n"/>
      <c r="E186" s="5" t="n"/>
      <c r="F186" s="10" t="n"/>
      <c r="G186" s="6">
        <f>IF(F186="","",Config!$B$9)</f>
        <v/>
      </c>
      <c r="H186" s="11">
        <f>IF(F186="","",ROUND(F186*G186,2))</f>
        <v/>
      </c>
      <c r="I186" s="6">
        <f>IF(F186="","",Config!$B$10)</f>
        <v/>
      </c>
      <c r="J186" s="11">
        <f>IF(F186="","",ROUND(F186*I186,2))</f>
        <v/>
      </c>
      <c r="K186" s="11">
        <f>IF(F186="","",F186+H186-J186)</f>
        <v/>
      </c>
      <c r="L186" s="12">
        <f>IF(A186="","",ROUNDUP(MONTH(A186)/3,0))</f>
        <v/>
      </c>
      <c r="M186" s="12">
        <f>IF(A186="","",MONTH(A186))</f>
        <v/>
      </c>
      <c r="N186" s="5" t="n"/>
    </row>
    <row r="187">
      <c r="A187" s="9" t="n"/>
      <c r="B187" s="5" t="n"/>
      <c r="C187" s="5" t="n"/>
      <c r="D187" s="5" t="n"/>
      <c r="E187" s="5" t="n"/>
      <c r="F187" s="10" t="n"/>
      <c r="G187" s="6">
        <f>IF(F187="","",Config!$B$9)</f>
        <v/>
      </c>
      <c r="H187" s="11">
        <f>IF(F187="","",ROUND(F187*G187,2))</f>
        <v/>
      </c>
      <c r="I187" s="6">
        <f>IF(F187="","",Config!$B$10)</f>
        <v/>
      </c>
      <c r="J187" s="11">
        <f>IF(F187="","",ROUND(F187*I187,2))</f>
        <v/>
      </c>
      <c r="K187" s="11">
        <f>IF(F187="","",F187+H187-J187)</f>
        <v/>
      </c>
      <c r="L187" s="12">
        <f>IF(A187="","",ROUNDUP(MONTH(A187)/3,0))</f>
        <v/>
      </c>
      <c r="M187" s="12">
        <f>IF(A187="","",MONTH(A187))</f>
        <v/>
      </c>
      <c r="N187" s="5" t="n"/>
    </row>
    <row r="188">
      <c r="A188" s="9" t="n"/>
      <c r="B188" s="5" t="n"/>
      <c r="C188" s="5" t="n"/>
      <c r="D188" s="5" t="n"/>
      <c r="E188" s="5" t="n"/>
      <c r="F188" s="10" t="n"/>
      <c r="G188" s="6">
        <f>IF(F188="","",Config!$B$9)</f>
        <v/>
      </c>
      <c r="H188" s="11">
        <f>IF(F188="","",ROUND(F188*G188,2))</f>
        <v/>
      </c>
      <c r="I188" s="6">
        <f>IF(F188="","",Config!$B$10)</f>
        <v/>
      </c>
      <c r="J188" s="11">
        <f>IF(F188="","",ROUND(F188*I188,2))</f>
        <v/>
      </c>
      <c r="K188" s="11">
        <f>IF(F188="","",F188+H188-J188)</f>
        <v/>
      </c>
      <c r="L188" s="12">
        <f>IF(A188="","",ROUNDUP(MONTH(A188)/3,0))</f>
        <v/>
      </c>
      <c r="M188" s="12">
        <f>IF(A188="","",MONTH(A188))</f>
        <v/>
      </c>
      <c r="N188" s="5" t="n"/>
    </row>
    <row r="189">
      <c r="A189" s="9" t="n"/>
      <c r="B189" s="5" t="n"/>
      <c r="C189" s="5" t="n"/>
      <c r="D189" s="5" t="n"/>
      <c r="E189" s="5" t="n"/>
      <c r="F189" s="10" t="n"/>
      <c r="G189" s="6">
        <f>IF(F189="","",Config!$B$9)</f>
        <v/>
      </c>
      <c r="H189" s="11">
        <f>IF(F189="","",ROUND(F189*G189,2))</f>
        <v/>
      </c>
      <c r="I189" s="6">
        <f>IF(F189="","",Config!$B$10)</f>
        <v/>
      </c>
      <c r="J189" s="11">
        <f>IF(F189="","",ROUND(F189*I189,2))</f>
        <v/>
      </c>
      <c r="K189" s="11">
        <f>IF(F189="","",F189+H189-J189)</f>
        <v/>
      </c>
      <c r="L189" s="12">
        <f>IF(A189="","",ROUNDUP(MONTH(A189)/3,0))</f>
        <v/>
      </c>
      <c r="M189" s="12">
        <f>IF(A189="","",MONTH(A189))</f>
        <v/>
      </c>
      <c r="N189" s="5" t="n"/>
    </row>
    <row r="190">
      <c r="A190" s="9" t="n"/>
      <c r="B190" s="5" t="n"/>
      <c r="C190" s="5" t="n"/>
      <c r="D190" s="5" t="n"/>
      <c r="E190" s="5" t="n"/>
      <c r="F190" s="10" t="n"/>
      <c r="G190" s="6">
        <f>IF(F190="","",Config!$B$9)</f>
        <v/>
      </c>
      <c r="H190" s="11">
        <f>IF(F190="","",ROUND(F190*G190,2))</f>
        <v/>
      </c>
      <c r="I190" s="6">
        <f>IF(F190="","",Config!$B$10)</f>
        <v/>
      </c>
      <c r="J190" s="11">
        <f>IF(F190="","",ROUND(F190*I190,2))</f>
        <v/>
      </c>
      <c r="K190" s="11">
        <f>IF(F190="","",F190+H190-J190)</f>
        <v/>
      </c>
      <c r="L190" s="12">
        <f>IF(A190="","",ROUNDUP(MONTH(A190)/3,0))</f>
        <v/>
      </c>
      <c r="M190" s="12">
        <f>IF(A190="","",MONTH(A190))</f>
        <v/>
      </c>
      <c r="N190" s="5" t="n"/>
    </row>
    <row r="191">
      <c r="A191" s="9" t="n"/>
      <c r="B191" s="5" t="n"/>
      <c r="C191" s="5" t="n"/>
      <c r="D191" s="5" t="n"/>
      <c r="E191" s="5" t="n"/>
      <c r="F191" s="10" t="n"/>
      <c r="G191" s="6">
        <f>IF(F191="","",Config!$B$9)</f>
        <v/>
      </c>
      <c r="H191" s="11">
        <f>IF(F191="","",ROUND(F191*G191,2))</f>
        <v/>
      </c>
      <c r="I191" s="6">
        <f>IF(F191="","",Config!$B$10)</f>
        <v/>
      </c>
      <c r="J191" s="11">
        <f>IF(F191="","",ROUND(F191*I191,2))</f>
        <v/>
      </c>
      <c r="K191" s="11">
        <f>IF(F191="","",F191+H191-J191)</f>
        <v/>
      </c>
      <c r="L191" s="12">
        <f>IF(A191="","",ROUNDUP(MONTH(A191)/3,0))</f>
        <v/>
      </c>
      <c r="M191" s="12">
        <f>IF(A191="","",MONTH(A191))</f>
        <v/>
      </c>
      <c r="N191" s="5" t="n"/>
    </row>
    <row r="192">
      <c r="A192" s="9" t="n"/>
      <c r="B192" s="5" t="n"/>
      <c r="C192" s="5" t="n"/>
      <c r="D192" s="5" t="n"/>
      <c r="E192" s="5" t="n"/>
      <c r="F192" s="10" t="n"/>
      <c r="G192" s="6">
        <f>IF(F192="","",Config!$B$9)</f>
        <v/>
      </c>
      <c r="H192" s="11">
        <f>IF(F192="","",ROUND(F192*G192,2))</f>
        <v/>
      </c>
      <c r="I192" s="6">
        <f>IF(F192="","",Config!$B$10)</f>
        <v/>
      </c>
      <c r="J192" s="11">
        <f>IF(F192="","",ROUND(F192*I192,2))</f>
        <v/>
      </c>
      <c r="K192" s="11">
        <f>IF(F192="","",F192+H192-J192)</f>
        <v/>
      </c>
      <c r="L192" s="12">
        <f>IF(A192="","",ROUNDUP(MONTH(A192)/3,0))</f>
        <v/>
      </c>
      <c r="M192" s="12">
        <f>IF(A192="","",MONTH(A192))</f>
        <v/>
      </c>
      <c r="N192" s="5" t="n"/>
    </row>
    <row r="193">
      <c r="A193" s="9" t="n"/>
      <c r="B193" s="5" t="n"/>
      <c r="C193" s="5" t="n"/>
      <c r="D193" s="5" t="n"/>
      <c r="E193" s="5" t="n"/>
      <c r="F193" s="10" t="n"/>
      <c r="G193" s="6">
        <f>IF(F193="","",Config!$B$9)</f>
        <v/>
      </c>
      <c r="H193" s="11">
        <f>IF(F193="","",ROUND(F193*G193,2))</f>
        <v/>
      </c>
      <c r="I193" s="6">
        <f>IF(F193="","",Config!$B$10)</f>
        <v/>
      </c>
      <c r="J193" s="11">
        <f>IF(F193="","",ROUND(F193*I193,2))</f>
        <v/>
      </c>
      <c r="K193" s="11">
        <f>IF(F193="","",F193+H193-J193)</f>
        <v/>
      </c>
      <c r="L193" s="12">
        <f>IF(A193="","",ROUNDUP(MONTH(A193)/3,0))</f>
        <v/>
      </c>
      <c r="M193" s="12">
        <f>IF(A193="","",MONTH(A193))</f>
        <v/>
      </c>
      <c r="N193" s="5" t="n"/>
    </row>
    <row r="194">
      <c r="A194" s="9" t="n"/>
      <c r="B194" s="5" t="n"/>
      <c r="C194" s="5" t="n"/>
      <c r="D194" s="5" t="n"/>
      <c r="E194" s="5" t="n"/>
      <c r="F194" s="10" t="n"/>
      <c r="G194" s="6">
        <f>IF(F194="","",Config!$B$9)</f>
        <v/>
      </c>
      <c r="H194" s="11">
        <f>IF(F194="","",ROUND(F194*G194,2))</f>
        <v/>
      </c>
      <c r="I194" s="6">
        <f>IF(F194="","",Config!$B$10)</f>
        <v/>
      </c>
      <c r="J194" s="11">
        <f>IF(F194="","",ROUND(F194*I194,2))</f>
        <v/>
      </c>
      <c r="K194" s="11">
        <f>IF(F194="","",F194+H194-J194)</f>
        <v/>
      </c>
      <c r="L194" s="12">
        <f>IF(A194="","",ROUNDUP(MONTH(A194)/3,0))</f>
        <v/>
      </c>
      <c r="M194" s="12">
        <f>IF(A194="","",MONTH(A194))</f>
        <v/>
      </c>
      <c r="N194" s="5" t="n"/>
    </row>
    <row r="195">
      <c r="A195" s="9" t="n"/>
      <c r="B195" s="5" t="n"/>
      <c r="C195" s="5" t="n"/>
      <c r="D195" s="5" t="n"/>
      <c r="E195" s="5" t="n"/>
      <c r="F195" s="10" t="n"/>
      <c r="G195" s="6">
        <f>IF(F195="","",Config!$B$9)</f>
        <v/>
      </c>
      <c r="H195" s="11">
        <f>IF(F195="","",ROUND(F195*G195,2))</f>
        <v/>
      </c>
      <c r="I195" s="6">
        <f>IF(F195="","",Config!$B$10)</f>
        <v/>
      </c>
      <c r="J195" s="11">
        <f>IF(F195="","",ROUND(F195*I195,2))</f>
        <v/>
      </c>
      <c r="K195" s="11">
        <f>IF(F195="","",F195+H195-J195)</f>
        <v/>
      </c>
      <c r="L195" s="12">
        <f>IF(A195="","",ROUNDUP(MONTH(A195)/3,0))</f>
        <v/>
      </c>
      <c r="M195" s="12">
        <f>IF(A195="","",MONTH(A195))</f>
        <v/>
      </c>
      <c r="N195" s="5" t="n"/>
    </row>
    <row r="196">
      <c r="A196" s="9" t="n"/>
      <c r="B196" s="5" t="n"/>
      <c r="C196" s="5" t="n"/>
      <c r="D196" s="5" t="n"/>
      <c r="E196" s="5" t="n"/>
      <c r="F196" s="10" t="n"/>
      <c r="G196" s="6">
        <f>IF(F196="","",Config!$B$9)</f>
        <v/>
      </c>
      <c r="H196" s="11">
        <f>IF(F196="","",ROUND(F196*G196,2))</f>
        <v/>
      </c>
      <c r="I196" s="6">
        <f>IF(F196="","",Config!$B$10)</f>
        <v/>
      </c>
      <c r="J196" s="11">
        <f>IF(F196="","",ROUND(F196*I196,2))</f>
        <v/>
      </c>
      <c r="K196" s="11">
        <f>IF(F196="","",F196+H196-J196)</f>
        <v/>
      </c>
      <c r="L196" s="12">
        <f>IF(A196="","",ROUNDUP(MONTH(A196)/3,0))</f>
        <v/>
      </c>
      <c r="M196" s="12">
        <f>IF(A196="","",MONTH(A196))</f>
        <v/>
      </c>
      <c r="N196" s="5" t="n"/>
    </row>
    <row r="197">
      <c r="A197" s="9" t="n"/>
      <c r="B197" s="5" t="n"/>
      <c r="C197" s="5" t="n"/>
      <c r="D197" s="5" t="n"/>
      <c r="E197" s="5" t="n"/>
      <c r="F197" s="10" t="n"/>
      <c r="G197" s="6">
        <f>IF(F197="","",Config!$B$9)</f>
        <v/>
      </c>
      <c r="H197" s="11">
        <f>IF(F197="","",ROUND(F197*G197,2))</f>
        <v/>
      </c>
      <c r="I197" s="6">
        <f>IF(F197="","",Config!$B$10)</f>
        <v/>
      </c>
      <c r="J197" s="11">
        <f>IF(F197="","",ROUND(F197*I197,2))</f>
        <v/>
      </c>
      <c r="K197" s="11">
        <f>IF(F197="","",F197+H197-J197)</f>
        <v/>
      </c>
      <c r="L197" s="12">
        <f>IF(A197="","",ROUNDUP(MONTH(A197)/3,0))</f>
        <v/>
      </c>
      <c r="M197" s="12">
        <f>IF(A197="","",MONTH(A197))</f>
        <v/>
      </c>
      <c r="N197" s="5" t="n"/>
    </row>
    <row r="198">
      <c r="A198" s="9" t="n"/>
      <c r="B198" s="5" t="n"/>
      <c r="C198" s="5" t="n"/>
      <c r="D198" s="5" t="n"/>
      <c r="E198" s="5" t="n"/>
      <c r="F198" s="10" t="n"/>
      <c r="G198" s="6">
        <f>IF(F198="","",Config!$B$9)</f>
        <v/>
      </c>
      <c r="H198" s="11">
        <f>IF(F198="","",ROUND(F198*G198,2))</f>
        <v/>
      </c>
      <c r="I198" s="6">
        <f>IF(F198="","",Config!$B$10)</f>
        <v/>
      </c>
      <c r="J198" s="11">
        <f>IF(F198="","",ROUND(F198*I198,2))</f>
        <v/>
      </c>
      <c r="K198" s="11">
        <f>IF(F198="","",F198+H198-J198)</f>
        <v/>
      </c>
      <c r="L198" s="12">
        <f>IF(A198="","",ROUNDUP(MONTH(A198)/3,0))</f>
        <v/>
      </c>
      <c r="M198" s="12">
        <f>IF(A198="","",MONTH(A198))</f>
        <v/>
      </c>
      <c r="N198" s="5" t="n"/>
    </row>
    <row r="199">
      <c r="A199" s="9" t="n"/>
      <c r="B199" s="5" t="n"/>
      <c r="C199" s="5" t="n"/>
      <c r="D199" s="5" t="n"/>
      <c r="E199" s="5" t="n"/>
      <c r="F199" s="10" t="n"/>
      <c r="G199" s="6">
        <f>IF(F199="","",Config!$B$9)</f>
        <v/>
      </c>
      <c r="H199" s="11">
        <f>IF(F199="","",ROUND(F199*G199,2))</f>
        <v/>
      </c>
      <c r="I199" s="6">
        <f>IF(F199="","",Config!$B$10)</f>
        <v/>
      </c>
      <c r="J199" s="11">
        <f>IF(F199="","",ROUND(F199*I199,2))</f>
        <v/>
      </c>
      <c r="K199" s="11">
        <f>IF(F199="","",F199+H199-J199)</f>
        <v/>
      </c>
      <c r="L199" s="12">
        <f>IF(A199="","",ROUNDUP(MONTH(A199)/3,0))</f>
        <v/>
      </c>
      <c r="M199" s="12">
        <f>IF(A199="","",MONTH(A199))</f>
        <v/>
      </c>
      <c r="N199" s="5" t="n"/>
    </row>
    <row r="200">
      <c r="A200" s="9" t="n"/>
      <c r="B200" s="5" t="n"/>
      <c r="C200" s="5" t="n"/>
      <c r="D200" s="5" t="n"/>
      <c r="E200" s="5" t="n"/>
      <c r="F200" s="10" t="n"/>
      <c r="G200" s="6">
        <f>IF(F200="","",Config!$B$9)</f>
        <v/>
      </c>
      <c r="H200" s="11">
        <f>IF(F200="","",ROUND(F200*G200,2))</f>
        <v/>
      </c>
      <c r="I200" s="6">
        <f>IF(F200="","",Config!$B$10)</f>
        <v/>
      </c>
      <c r="J200" s="11">
        <f>IF(F200="","",ROUND(F200*I200,2))</f>
        <v/>
      </c>
      <c r="K200" s="11">
        <f>IF(F200="","",F200+H200-J200)</f>
        <v/>
      </c>
      <c r="L200" s="12">
        <f>IF(A200="","",ROUNDUP(MONTH(A200)/3,0))</f>
        <v/>
      </c>
      <c r="M200" s="12">
        <f>IF(A200="","",MONTH(A200))</f>
        <v/>
      </c>
      <c r="N200" s="5" t="n"/>
    </row>
    <row r="201">
      <c r="A201" s="9" t="n"/>
      <c r="B201" s="5" t="n"/>
      <c r="C201" s="5" t="n"/>
      <c r="D201" s="5" t="n"/>
      <c r="E201" s="5" t="n"/>
      <c r="F201" s="10" t="n"/>
      <c r="G201" s="6">
        <f>IF(F201="","",Config!$B$9)</f>
        <v/>
      </c>
      <c r="H201" s="11">
        <f>IF(F201="","",ROUND(F201*G201,2))</f>
        <v/>
      </c>
      <c r="I201" s="6">
        <f>IF(F201="","",Config!$B$10)</f>
        <v/>
      </c>
      <c r="J201" s="11">
        <f>IF(F201="","",ROUND(F201*I201,2))</f>
        <v/>
      </c>
      <c r="K201" s="11">
        <f>IF(F201="","",F201+H201-J201)</f>
        <v/>
      </c>
      <c r="L201" s="12">
        <f>IF(A201="","",ROUNDUP(MONTH(A201)/3,0))</f>
        <v/>
      </c>
      <c r="M201" s="12">
        <f>IF(A201="","",MONTH(A201))</f>
        <v/>
      </c>
      <c r="N201" s="5" t="n"/>
    </row>
    <row r="202">
      <c r="A202" s="9" t="n"/>
      <c r="B202" s="5" t="n"/>
      <c r="C202" s="5" t="n"/>
      <c r="D202" s="5" t="n"/>
      <c r="E202" s="5" t="n"/>
      <c r="F202" s="10" t="n"/>
      <c r="G202" s="6">
        <f>IF(F202="","",Config!$B$9)</f>
        <v/>
      </c>
      <c r="H202" s="11">
        <f>IF(F202="","",ROUND(F202*G202,2))</f>
        <v/>
      </c>
      <c r="I202" s="6">
        <f>IF(F202="","",Config!$B$10)</f>
        <v/>
      </c>
      <c r="J202" s="11">
        <f>IF(F202="","",ROUND(F202*I202,2))</f>
        <v/>
      </c>
      <c r="K202" s="11">
        <f>IF(F202="","",F202+H202-J202)</f>
        <v/>
      </c>
      <c r="L202" s="12">
        <f>IF(A202="","",ROUNDUP(MONTH(A202)/3,0))</f>
        <v/>
      </c>
      <c r="M202" s="12">
        <f>IF(A202="","",MONTH(A202))</f>
        <v/>
      </c>
      <c r="N202" s="5" t="n"/>
    </row>
    <row r="203">
      <c r="A203" s="9" t="n"/>
      <c r="B203" s="5" t="n"/>
      <c r="C203" s="5" t="n"/>
      <c r="D203" s="5" t="n"/>
      <c r="E203" s="5" t="n"/>
      <c r="F203" s="10" t="n"/>
      <c r="G203" s="6">
        <f>IF(F203="","",Config!$B$9)</f>
        <v/>
      </c>
      <c r="H203" s="11">
        <f>IF(F203="","",ROUND(F203*G203,2))</f>
        <v/>
      </c>
      <c r="I203" s="6">
        <f>IF(F203="","",Config!$B$10)</f>
        <v/>
      </c>
      <c r="J203" s="11">
        <f>IF(F203="","",ROUND(F203*I203,2))</f>
        <v/>
      </c>
      <c r="K203" s="11">
        <f>IF(F203="","",F203+H203-J203)</f>
        <v/>
      </c>
      <c r="L203" s="12">
        <f>IF(A203="","",ROUNDUP(MONTH(A203)/3,0))</f>
        <v/>
      </c>
      <c r="M203" s="12">
        <f>IF(A203="","",MONTH(A203))</f>
        <v/>
      </c>
      <c r="N203" s="5" t="n"/>
    </row>
    <row r="204">
      <c r="A204" s="9" t="n"/>
      <c r="B204" s="5" t="n"/>
      <c r="C204" s="5" t="n"/>
      <c r="D204" s="5" t="n"/>
      <c r="E204" s="5" t="n"/>
      <c r="F204" s="10" t="n"/>
      <c r="G204" s="6">
        <f>IF(F204="","",Config!$B$9)</f>
        <v/>
      </c>
      <c r="H204" s="11">
        <f>IF(F204="","",ROUND(F204*G204,2))</f>
        <v/>
      </c>
      <c r="I204" s="6">
        <f>IF(F204="","",Config!$B$10)</f>
        <v/>
      </c>
      <c r="J204" s="11">
        <f>IF(F204="","",ROUND(F204*I204,2))</f>
        <v/>
      </c>
      <c r="K204" s="11">
        <f>IF(F204="","",F204+H204-J204)</f>
        <v/>
      </c>
      <c r="L204" s="12">
        <f>IF(A204="","",ROUNDUP(MONTH(A204)/3,0))</f>
        <v/>
      </c>
      <c r="M204" s="12">
        <f>IF(A204="","",MONTH(A204))</f>
        <v/>
      </c>
      <c r="N204" s="5" t="n"/>
    </row>
    <row r="205">
      <c r="A205" s="9" t="n"/>
      <c r="B205" s="5" t="n"/>
      <c r="C205" s="5" t="n"/>
      <c r="D205" s="5" t="n"/>
      <c r="E205" s="5" t="n"/>
      <c r="F205" s="10" t="n"/>
      <c r="G205" s="6">
        <f>IF(F205="","",Config!$B$9)</f>
        <v/>
      </c>
      <c r="H205" s="11">
        <f>IF(F205="","",ROUND(F205*G205,2))</f>
        <v/>
      </c>
      <c r="I205" s="6">
        <f>IF(F205="","",Config!$B$10)</f>
        <v/>
      </c>
      <c r="J205" s="11">
        <f>IF(F205="","",ROUND(F205*I205,2))</f>
        <v/>
      </c>
      <c r="K205" s="11">
        <f>IF(F205="","",F205+H205-J205)</f>
        <v/>
      </c>
      <c r="L205" s="12">
        <f>IF(A205="","",ROUNDUP(MONTH(A205)/3,0))</f>
        <v/>
      </c>
      <c r="M205" s="12">
        <f>IF(A205="","",MONTH(A205))</f>
        <v/>
      </c>
      <c r="N205" s="5" t="n"/>
    </row>
    <row r="206">
      <c r="A206" s="9" t="n"/>
      <c r="B206" s="5" t="n"/>
      <c r="C206" s="5" t="n"/>
      <c r="D206" s="5" t="n"/>
      <c r="E206" s="5" t="n"/>
      <c r="F206" s="10" t="n"/>
      <c r="G206" s="6">
        <f>IF(F206="","",Config!$B$9)</f>
        <v/>
      </c>
      <c r="H206" s="11">
        <f>IF(F206="","",ROUND(F206*G206,2))</f>
        <v/>
      </c>
      <c r="I206" s="6">
        <f>IF(F206="","",Config!$B$10)</f>
        <v/>
      </c>
      <c r="J206" s="11">
        <f>IF(F206="","",ROUND(F206*I206,2))</f>
        <v/>
      </c>
      <c r="K206" s="11">
        <f>IF(F206="","",F206+H206-J206)</f>
        <v/>
      </c>
      <c r="L206" s="12">
        <f>IF(A206="","",ROUNDUP(MONTH(A206)/3,0))</f>
        <v/>
      </c>
      <c r="M206" s="12">
        <f>IF(A206="","",MONTH(A206))</f>
        <v/>
      </c>
      <c r="N206" s="5" t="n"/>
    </row>
    <row r="207">
      <c r="A207" s="9" t="n"/>
      <c r="B207" s="5" t="n"/>
      <c r="C207" s="5" t="n"/>
      <c r="D207" s="5" t="n"/>
      <c r="E207" s="5" t="n"/>
      <c r="F207" s="10" t="n"/>
      <c r="G207" s="6">
        <f>IF(F207="","",Config!$B$9)</f>
        <v/>
      </c>
      <c r="H207" s="11">
        <f>IF(F207="","",ROUND(F207*G207,2))</f>
        <v/>
      </c>
      <c r="I207" s="6">
        <f>IF(F207="","",Config!$B$10)</f>
        <v/>
      </c>
      <c r="J207" s="11">
        <f>IF(F207="","",ROUND(F207*I207,2))</f>
        <v/>
      </c>
      <c r="K207" s="11">
        <f>IF(F207="","",F207+H207-J207)</f>
        <v/>
      </c>
      <c r="L207" s="12">
        <f>IF(A207="","",ROUNDUP(MONTH(A207)/3,0))</f>
        <v/>
      </c>
      <c r="M207" s="12">
        <f>IF(A207="","",MONTH(A207))</f>
        <v/>
      </c>
      <c r="N207" s="5" t="n"/>
    </row>
    <row r="208">
      <c r="A208" s="9" t="n"/>
      <c r="B208" s="5" t="n"/>
      <c r="C208" s="5" t="n"/>
      <c r="D208" s="5" t="n"/>
      <c r="E208" s="5" t="n"/>
      <c r="F208" s="10" t="n"/>
      <c r="G208" s="6">
        <f>IF(F208="","",Config!$B$9)</f>
        <v/>
      </c>
      <c r="H208" s="11">
        <f>IF(F208="","",ROUND(F208*G208,2))</f>
        <v/>
      </c>
      <c r="I208" s="6">
        <f>IF(F208="","",Config!$B$10)</f>
        <v/>
      </c>
      <c r="J208" s="11">
        <f>IF(F208="","",ROUND(F208*I208,2))</f>
        <v/>
      </c>
      <c r="K208" s="11">
        <f>IF(F208="","",F208+H208-J208)</f>
        <v/>
      </c>
      <c r="L208" s="12">
        <f>IF(A208="","",ROUNDUP(MONTH(A208)/3,0))</f>
        <v/>
      </c>
      <c r="M208" s="12">
        <f>IF(A208="","",MONTH(A208))</f>
        <v/>
      </c>
      <c r="N208" s="5" t="n"/>
    </row>
    <row r="209">
      <c r="A209" s="9" t="n"/>
      <c r="B209" s="5" t="n"/>
      <c r="C209" s="5" t="n"/>
      <c r="D209" s="5" t="n"/>
      <c r="E209" s="5" t="n"/>
      <c r="F209" s="10" t="n"/>
      <c r="G209" s="6">
        <f>IF(F209="","",Config!$B$9)</f>
        <v/>
      </c>
      <c r="H209" s="11">
        <f>IF(F209="","",ROUND(F209*G209,2))</f>
        <v/>
      </c>
      <c r="I209" s="6">
        <f>IF(F209="","",Config!$B$10)</f>
        <v/>
      </c>
      <c r="J209" s="11">
        <f>IF(F209="","",ROUND(F209*I209,2))</f>
        <v/>
      </c>
      <c r="K209" s="11">
        <f>IF(F209="","",F209+H209-J209)</f>
        <v/>
      </c>
      <c r="L209" s="12">
        <f>IF(A209="","",ROUNDUP(MONTH(A209)/3,0))</f>
        <v/>
      </c>
      <c r="M209" s="12">
        <f>IF(A209="","",MONTH(A209))</f>
        <v/>
      </c>
      <c r="N209" s="5" t="n"/>
    </row>
    <row r="210">
      <c r="A210" s="9" t="n"/>
      <c r="B210" s="5" t="n"/>
      <c r="C210" s="5" t="n"/>
      <c r="D210" s="5" t="n"/>
      <c r="E210" s="5" t="n"/>
      <c r="F210" s="10" t="n"/>
      <c r="G210" s="6">
        <f>IF(F210="","",Config!$B$9)</f>
        <v/>
      </c>
      <c r="H210" s="11">
        <f>IF(F210="","",ROUND(F210*G210,2))</f>
        <v/>
      </c>
      <c r="I210" s="6">
        <f>IF(F210="","",Config!$B$10)</f>
        <v/>
      </c>
      <c r="J210" s="11">
        <f>IF(F210="","",ROUND(F210*I210,2))</f>
        <v/>
      </c>
      <c r="K210" s="11">
        <f>IF(F210="","",F210+H210-J210)</f>
        <v/>
      </c>
      <c r="L210" s="12">
        <f>IF(A210="","",ROUNDUP(MONTH(A210)/3,0))</f>
        <v/>
      </c>
      <c r="M210" s="12">
        <f>IF(A210="","",MONTH(A210))</f>
        <v/>
      </c>
      <c r="N210" s="5" t="n"/>
    </row>
    <row r="211">
      <c r="A211" s="9" t="n"/>
      <c r="B211" s="5" t="n"/>
      <c r="C211" s="5" t="n"/>
      <c r="D211" s="5" t="n"/>
      <c r="E211" s="5" t="n"/>
      <c r="F211" s="10" t="n"/>
      <c r="G211" s="6">
        <f>IF(F211="","",Config!$B$9)</f>
        <v/>
      </c>
      <c r="H211" s="11">
        <f>IF(F211="","",ROUND(F211*G211,2))</f>
        <v/>
      </c>
      <c r="I211" s="6">
        <f>IF(F211="","",Config!$B$10)</f>
        <v/>
      </c>
      <c r="J211" s="11">
        <f>IF(F211="","",ROUND(F211*I211,2))</f>
        <v/>
      </c>
      <c r="K211" s="11">
        <f>IF(F211="","",F211+H211-J211)</f>
        <v/>
      </c>
      <c r="L211" s="12">
        <f>IF(A211="","",ROUNDUP(MONTH(A211)/3,0))</f>
        <v/>
      </c>
      <c r="M211" s="12">
        <f>IF(A211="","",MONTH(A211))</f>
        <v/>
      </c>
      <c r="N211" s="5" t="n"/>
    </row>
    <row r="212">
      <c r="A212" s="9" t="n"/>
      <c r="B212" s="5" t="n"/>
      <c r="C212" s="5" t="n"/>
      <c r="D212" s="5" t="n"/>
      <c r="E212" s="5" t="n"/>
      <c r="F212" s="10" t="n"/>
      <c r="G212" s="6">
        <f>IF(F212="","",Config!$B$9)</f>
        <v/>
      </c>
      <c r="H212" s="11">
        <f>IF(F212="","",ROUND(F212*G212,2))</f>
        <v/>
      </c>
      <c r="I212" s="6">
        <f>IF(F212="","",Config!$B$10)</f>
        <v/>
      </c>
      <c r="J212" s="11">
        <f>IF(F212="","",ROUND(F212*I212,2))</f>
        <v/>
      </c>
      <c r="K212" s="11">
        <f>IF(F212="","",F212+H212-J212)</f>
        <v/>
      </c>
      <c r="L212" s="12">
        <f>IF(A212="","",ROUNDUP(MONTH(A212)/3,0))</f>
        <v/>
      </c>
      <c r="M212" s="12">
        <f>IF(A212="","",MONTH(A212))</f>
        <v/>
      </c>
      <c r="N212" s="5" t="n"/>
    </row>
    <row r="213">
      <c r="A213" s="9" t="n"/>
      <c r="B213" s="5" t="n"/>
      <c r="C213" s="5" t="n"/>
      <c r="D213" s="5" t="n"/>
      <c r="E213" s="5" t="n"/>
      <c r="F213" s="10" t="n"/>
      <c r="G213" s="6">
        <f>IF(F213="","",Config!$B$9)</f>
        <v/>
      </c>
      <c r="H213" s="11">
        <f>IF(F213="","",ROUND(F213*G213,2))</f>
        <v/>
      </c>
      <c r="I213" s="6">
        <f>IF(F213="","",Config!$B$10)</f>
        <v/>
      </c>
      <c r="J213" s="11">
        <f>IF(F213="","",ROUND(F213*I213,2))</f>
        <v/>
      </c>
      <c r="K213" s="11">
        <f>IF(F213="","",F213+H213-J213)</f>
        <v/>
      </c>
      <c r="L213" s="12">
        <f>IF(A213="","",ROUNDUP(MONTH(A213)/3,0))</f>
        <v/>
      </c>
      <c r="M213" s="12">
        <f>IF(A213="","",MONTH(A213))</f>
        <v/>
      </c>
      <c r="N213" s="5" t="n"/>
    </row>
    <row r="214">
      <c r="A214" s="9" t="n"/>
      <c r="B214" s="5" t="n"/>
      <c r="C214" s="5" t="n"/>
      <c r="D214" s="5" t="n"/>
      <c r="E214" s="5" t="n"/>
      <c r="F214" s="10" t="n"/>
      <c r="G214" s="6">
        <f>IF(F214="","",Config!$B$9)</f>
        <v/>
      </c>
      <c r="H214" s="11">
        <f>IF(F214="","",ROUND(F214*G214,2))</f>
        <v/>
      </c>
      <c r="I214" s="6">
        <f>IF(F214="","",Config!$B$10)</f>
        <v/>
      </c>
      <c r="J214" s="11">
        <f>IF(F214="","",ROUND(F214*I214,2))</f>
        <v/>
      </c>
      <c r="K214" s="11">
        <f>IF(F214="","",F214+H214-J214)</f>
        <v/>
      </c>
      <c r="L214" s="12">
        <f>IF(A214="","",ROUNDUP(MONTH(A214)/3,0))</f>
        <v/>
      </c>
      <c r="M214" s="12">
        <f>IF(A214="","",MONTH(A214))</f>
        <v/>
      </c>
      <c r="N214" s="5" t="n"/>
    </row>
    <row r="215">
      <c r="A215" s="9" t="n"/>
      <c r="B215" s="5" t="n"/>
      <c r="C215" s="5" t="n"/>
      <c r="D215" s="5" t="n"/>
      <c r="E215" s="5" t="n"/>
      <c r="F215" s="10" t="n"/>
      <c r="G215" s="6">
        <f>IF(F215="","",Config!$B$9)</f>
        <v/>
      </c>
      <c r="H215" s="11">
        <f>IF(F215="","",ROUND(F215*G215,2))</f>
        <v/>
      </c>
      <c r="I215" s="6">
        <f>IF(F215="","",Config!$B$10)</f>
        <v/>
      </c>
      <c r="J215" s="11">
        <f>IF(F215="","",ROUND(F215*I215,2))</f>
        <v/>
      </c>
      <c r="K215" s="11">
        <f>IF(F215="","",F215+H215-J215)</f>
        <v/>
      </c>
      <c r="L215" s="12">
        <f>IF(A215="","",ROUNDUP(MONTH(A215)/3,0))</f>
        <v/>
      </c>
      <c r="M215" s="12">
        <f>IF(A215="","",MONTH(A215))</f>
        <v/>
      </c>
      <c r="N215" s="5" t="n"/>
    </row>
    <row r="216">
      <c r="A216" s="9" t="n"/>
      <c r="B216" s="5" t="n"/>
      <c r="C216" s="5" t="n"/>
      <c r="D216" s="5" t="n"/>
      <c r="E216" s="5" t="n"/>
      <c r="F216" s="10" t="n"/>
      <c r="G216" s="6">
        <f>IF(F216="","",Config!$B$9)</f>
        <v/>
      </c>
      <c r="H216" s="11">
        <f>IF(F216="","",ROUND(F216*G216,2))</f>
        <v/>
      </c>
      <c r="I216" s="6">
        <f>IF(F216="","",Config!$B$10)</f>
        <v/>
      </c>
      <c r="J216" s="11">
        <f>IF(F216="","",ROUND(F216*I216,2))</f>
        <v/>
      </c>
      <c r="K216" s="11">
        <f>IF(F216="","",F216+H216-J216)</f>
        <v/>
      </c>
      <c r="L216" s="12">
        <f>IF(A216="","",ROUNDUP(MONTH(A216)/3,0))</f>
        <v/>
      </c>
      <c r="M216" s="12">
        <f>IF(A216="","",MONTH(A216))</f>
        <v/>
      </c>
      <c r="N216" s="5" t="n"/>
    </row>
    <row r="217">
      <c r="A217" s="9" t="n"/>
      <c r="B217" s="5" t="n"/>
      <c r="C217" s="5" t="n"/>
      <c r="D217" s="5" t="n"/>
      <c r="E217" s="5" t="n"/>
      <c r="F217" s="10" t="n"/>
      <c r="G217" s="6">
        <f>IF(F217="","",Config!$B$9)</f>
        <v/>
      </c>
      <c r="H217" s="11">
        <f>IF(F217="","",ROUND(F217*G217,2))</f>
        <v/>
      </c>
      <c r="I217" s="6">
        <f>IF(F217="","",Config!$B$10)</f>
        <v/>
      </c>
      <c r="J217" s="11">
        <f>IF(F217="","",ROUND(F217*I217,2))</f>
        <v/>
      </c>
      <c r="K217" s="11">
        <f>IF(F217="","",F217+H217-J217)</f>
        <v/>
      </c>
      <c r="L217" s="12">
        <f>IF(A217="","",ROUNDUP(MONTH(A217)/3,0))</f>
        <v/>
      </c>
      <c r="M217" s="12">
        <f>IF(A217="","",MONTH(A217))</f>
        <v/>
      </c>
      <c r="N217" s="5" t="n"/>
    </row>
    <row r="218">
      <c r="A218" s="9" t="n"/>
      <c r="B218" s="5" t="n"/>
      <c r="C218" s="5" t="n"/>
      <c r="D218" s="5" t="n"/>
      <c r="E218" s="5" t="n"/>
      <c r="F218" s="10" t="n"/>
      <c r="G218" s="6">
        <f>IF(F218="","",Config!$B$9)</f>
        <v/>
      </c>
      <c r="H218" s="11">
        <f>IF(F218="","",ROUND(F218*G218,2))</f>
        <v/>
      </c>
      <c r="I218" s="6">
        <f>IF(F218="","",Config!$B$10)</f>
        <v/>
      </c>
      <c r="J218" s="11">
        <f>IF(F218="","",ROUND(F218*I218,2))</f>
        <v/>
      </c>
      <c r="K218" s="11">
        <f>IF(F218="","",F218+H218-J218)</f>
        <v/>
      </c>
      <c r="L218" s="12">
        <f>IF(A218="","",ROUNDUP(MONTH(A218)/3,0))</f>
        <v/>
      </c>
      <c r="M218" s="12">
        <f>IF(A218="","",MONTH(A218))</f>
        <v/>
      </c>
      <c r="N218" s="5" t="n"/>
    </row>
    <row r="219">
      <c r="A219" s="9" t="n"/>
      <c r="B219" s="5" t="n"/>
      <c r="C219" s="5" t="n"/>
      <c r="D219" s="5" t="n"/>
      <c r="E219" s="5" t="n"/>
      <c r="F219" s="10" t="n"/>
      <c r="G219" s="6">
        <f>IF(F219="","",Config!$B$9)</f>
        <v/>
      </c>
      <c r="H219" s="11">
        <f>IF(F219="","",ROUND(F219*G219,2))</f>
        <v/>
      </c>
      <c r="I219" s="6">
        <f>IF(F219="","",Config!$B$10)</f>
        <v/>
      </c>
      <c r="J219" s="11">
        <f>IF(F219="","",ROUND(F219*I219,2))</f>
        <v/>
      </c>
      <c r="K219" s="11">
        <f>IF(F219="","",F219+H219-J219)</f>
        <v/>
      </c>
      <c r="L219" s="12">
        <f>IF(A219="","",ROUNDUP(MONTH(A219)/3,0))</f>
        <v/>
      </c>
      <c r="M219" s="12">
        <f>IF(A219="","",MONTH(A219))</f>
        <v/>
      </c>
      <c r="N219" s="5" t="n"/>
    </row>
    <row r="220">
      <c r="A220" s="9" t="n"/>
      <c r="B220" s="5" t="n"/>
      <c r="C220" s="5" t="n"/>
      <c r="D220" s="5" t="n"/>
      <c r="E220" s="5" t="n"/>
      <c r="F220" s="10" t="n"/>
      <c r="G220" s="6">
        <f>IF(F220="","",Config!$B$9)</f>
        <v/>
      </c>
      <c r="H220" s="11">
        <f>IF(F220="","",ROUND(F220*G220,2))</f>
        <v/>
      </c>
      <c r="I220" s="6">
        <f>IF(F220="","",Config!$B$10)</f>
        <v/>
      </c>
      <c r="J220" s="11">
        <f>IF(F220="","",ROUND(F220*I220,2))</f>
        <v/>
      </c>
      <c r="K220" s="11">
        <f>IF(F220="","",F220+H220-J220)</f>
        <v/>
      </c>
      <c r="L220" s="12">
        <f>IF(A220="","",ROUNDUP(MONTH(A220)/3,0))</f>
        <v/>
      </c>
      <c r="M220" s="12">
        <f>IF(A220="","",MONTH(A220))</f>
        <v/>
      </c>
      <c r="N220" s="5" t="n"/>
    </row>
    <row r="221">
      <c r="A221" s="9" t="n"/>
      <c r="B221" s="5" t="n"/>
      <c r="C221" s="5" t="n"/>
      <c r="D221" s="5" t="n"/>
      <c r="E221" s="5" t="n"/>
      <c r="F221" s="10" t="n"/>
      <c r="G221" s="6">
        <f>IF(F221="","",Config!$B$9)</f>
        <v/>
      </c>
      <c r="H221" s="11">
        <f>IF(F221="","",ROUND(F221*G221,2))</f>
        <v/>
      </c>
      <c r="I221" s="6">
        <f>IF(F221="","",Config!$B$10)</f>
        <v/>
      </c>
      <c r="J221" s="11">
        <f>IF(F221="","",ROUND(F221*I221,2))</f>
        <v/>
      </c>
      <c r="K221" s="11">
        <f>IF(F221="","",F221+H221-J221)</f>
        <v/>
      </c>
      <c r="L221" s="12">
        <f>IF(A221="","",ROUNDUP(MONTH(A221)/3,0))</f>
        <v/>
      </c>
      <c r="M221" s="12">
        <f>IF(A221="","",MONTH(A221))</f>
        <v/>
      </c>
      <c r="N221" s="5" t="n"/>
    </row>
    <row r="222">
      <c r="A222" s="9" t="n"/>
      <c r="B222" s="5" t="n"/>
      <c r="C222" s="5" t="n"/>
      <c r="D222" s="5" t="n"/>
      <c r="E222" s="5" t="n"/>
      <c r="F222" s="10" t="n"/>
      <c r="G222" s="6">
        <f>IF(F222="","",Config!$B$9)</f>
        <v/>
      </c>
      <c r="H222" s="11">
        <f>IF(F222="","",ROUND(F222*G222,2))</f>
        <v/>
      </c>
      <c r="I222" s="6">
        <f>IF(F222="","",Config!$B$10)</f>
        <v/>
      </c>
      <c r="J222" s="11">
        <f>IF(F222="","",ROUND(F222*I222,2))</f>
        <v/>
      </c>
      <c r="K222" s="11">
        <f>IF(F222="","",F222+H222-J222)</f>
        <v/>
      </c>
      <c r="L222" s="12">
        <f>IF(A222="","",ROUNDUP(MONTH(A222)/3,0))</f>
        <v/>
      </c>
      <c r="M222" s="12">
        <f>IF(A222="","",MONTH(A222))</f>
        <v/>
      </c>
      <c r="N222" s="5" t="n"/>
    </row>
    <row r="223">
      <c r="A223" s="9" t="n"/>
      <c r="B223" s="5" t="n"/>
      <c r="C223" s="5" t="n"/>
      <c r="D223" s="5" t="n"/>
      <c r="E223" s="5" t="n"/>
      <c r="F223" s="10" t="n"/>
      <c r="G223" s="6">
        <f>IF(F223="","",Config!$B$9)</f>
        <v/>
      </c>
      <c r="H223" s="11">
        <f>IF(F223="","",ROUND(F223*G223,2))</f>
        <v/>
      </c>
      <c r="I223" s="6">
        <f>IF(F223="","",Config!$B$10)</f>
        <v/>
      </c>
      <c r="J223" s="11">
        <f>IF(F223="","",ROUND(F223*I223,2))</f>
        <v/>
      </c>
      <c r="K223" s="11">
        <f>IF(F223="","",F223+H223-J223)</f>
        <v/>
      </c>
      <c r="L223" s="12">
        <f>IF(A223="","",ROUNDUP(MONTH(A223)/3,0))</f>
        <v/>
      </c>
      <c r="M223" s="12">
        <f>IF(A223="","",MONTH(A223))</f>
        <v/>
      </c>
      <c r="N223" s="5" t="n"/>
    </row>
    <row r="224">
      <c r="A224" s="9" t="n"/>
      <c r="B224" s="5" t="n"/>
      <c r="C224" s="5" t="n"/>
      <c r="D224" s="5" t="n"/>
      <c r="E224" s="5" t="n"/>
      <c r="F224" s="10" t="n"/>
      <c r="G224" s="6">
        <f>IF(F224="","",Config!$B$9)</f>
        <v/>
      </c>
      <c r="H224" s="11">
        <f>IF(F224="","",ROUND(F224*G224,2))</f>
        <v/>
      </c>
      <c r="I224" s="6">
        <f>IF(F224="","",Config!$B$10)</f>
        <v/>
      </c>
      <c r="J224" s="11">
        <f>IF(F224="","",ROUND(F224*I224,2))</f>
        <v/>
      </c>
      <c r="K224" s="11">
        <f>IF(F224="","",F224+H224-J224)</f>
        <v/>
      </c>
      <c r="L224" s="12">
        <f>IF(A224="","",ROUNDUP(MONTH(A224)/3,0))</f>
        <v/>
      </c>
      <c r="M224" s="12">
        <f>IF(A224="","",MONTH(A224))</f>
        <v/>
      </c>
      <c r="N224" s="5" t="n"/>
    </row>
    <row r="225">
      <c r="A225" s="9" t="n"/>
      <c r="B225" s="5" t="n"/>
      <c r="C225" s="5" t="n"/>
      <c r="D225" s="5" t="n"/>
      <c r="E225" s="5" t="n"/>
      <c r="F225" s="10" t="n"/>
      <c r="G225" s="6">
        <f>IF(F225="","",Config!$B$9)</f>
        <v/>
      </c>
      <c r="H225" s="11">
        <f>IF(F225="","",ROUND(F225*G225,2))</f>
        <v/>
      </c>
      <c r="I225" s="6">
        <f>IF(F225="","",Config!$B$10)</f>
        <v/>
      </c>
      <c r="J225" s="11">
        <f>IF(F225="","",ROUND(F225*I225,2))</f>
        <v/>
      </c>
      <c r="K225" s="11">
        <f>IF(F225="","",F225+H225-J225)</f>
        <v/>
      </c>
      <c r="L225" s="12">
        <f>IF(A225="","",ROUNDUP(MONTH(A225)/3,0))</f>
        <v/>
      </c>
      <c r="M225" s="12">
        <f>IF(A225="","",MONTH(A225))</f>
        <v/>
      </c>
      <c r="N225" s="5" t="n"/>
    </row>
    <row r="226">
      <c r="A226" s="9" t="n"/>
      <c r="B226" s="5" t="n"/>
      <c r="C226" s="5" t="n"/>
      <c r="D226" s="5" t="n"/>
      <c r="E226" s="5" t="n"/>
      <c r="F226" s="10" t="n"/>
      <c r="G226" s="6">
        <f>IF(F226="","",Config!$B$9)</f>
        <v/>
      </c>
      <c r="H226" s="11">
        <f>IF(F226="","",ROUND(F226*G226,2))</f>
        <v/>
      </c>
      <c r="I226" s="6">
        <f>IF(F226="","",Config!$B$10)</f>
        <v/>
      </c>
      <c r="J226" s="11">
        <f>IF(F226="","",ROUND(F226*I226,2))</f>
        <v/>
      </c>
      <c r="K226" s="11">
        <f>IF(F226="","",F226+H226-J226)</f>
        <v/>
      </c>
      <c r="L226" s="12">
        <f>IF(A226="","",ROUNDUP(MONTH(A226)/3,0))</f>
        <v/>
      </c>
      <c r="M226" s="12">
        <f>IF(A226="","",MONTH(A226))</f>
        <v/>
      </c>
      <c r="N226" s="5" t="n"/>
    </row>
    <row r="227">
      <c r="A227" s="9" t="n"/>
      <c r="B227" s="5" t="n"/>
      <c r="C227" s="5" t="n"/>
      <c r="D227" s="5" t="n"/>
      <c r="E227" s="5" t="n"/>
      <c r="F227" s="10" t="n"/>
      <c r="G227" s="6">
        <f>IF(F227="","",Config!$B$9)</f>
        <v/>
      </c>
      <c r="H227" s="11">
        <f>IF(F227="","",ROUND(F227*G227,2))</f>
        <v/>
      </c>
      <c r="I227" s="6">
        <f>IF(F227="","",Config!$B$10)</f>
        <v/>
      </c>
      <c r="J227" s="11">
        <f>IF(F227="","",ROUND(F227*I227,2))</f>
        <v/>
      </c>
      <c r="K227" s="11">
        <f>IF(F227="","",F227+H227-J227)</f>
        <v/>
      </c>
      <c r="L227" s="12">
        <f>IF(A227="","",ROUNDUP(MONTH(A227)/3,0))</f>
        <v/>
      </c>
      <c r="M227" s="12">
        <f>IF(A227="","",MONTH(A227))</f>
        <v/>
      </c>
      <c r="N227" s="5" t="n"/>
    </row>
    <row r="228">
      <c r="A228" s="9" t="n"/>
      <c r="B228" s="5" t="n"/>
      <c r="C228" s="5" t="n"/>
      <c r="D228" s="5" t="n"/>
      <c r="E228" s="5" t="n"/>
      <c r="F228" s="10" t="n"/>
      <c r="G228" s="6">
        <f>IF(F228="","",Config!$B$9)</f>
        <v/>
      </c>
      <c r="H228" s="11">
        <f>IF(F228="","",ROUND(F228*G228,2))</f>
        <v/>
      </c>
      <c r="I228" s="6">
        <f>IF(F228="","",Config!$B$10)</f>
        <v/>
      </c>
      <c r="J228" s="11">
        <f>IF(F228="","",ROUND(F228*I228,2))</f>
        <v/>
      </c>
      <c r="K228" s="11">
        <f>IF(F228="","",F228+H228-J228)</f>
        <v/>
      </c>
      <c r="L228" s="12">
        <f>IF(A228="","",ROUNDUP(MONTH(A228)/3,0))</f>
        <v/>
      </c>
      <c r="M228" s="12">
        <f>IF(A228="","",MONTH(A228))</f>
        <v/>
      </c>
      <c r="N228" s="5" t="n"/>
    </row>
    <row r="229">
      <c r="A229" s="9" t="n"/>
      <c r="B229" s="5" t="n"/>
      <c r="C229" s="5" t="n"/>
      <c r="D229" s="5" t="n"/>
      <c r="E229" s="5" t="n"/>
      <c r="F229" s="10" t="n"/>
      <c r="G229" s="6">
        <f>IF(F229="","",Config!$B$9)</f>
        <v/>
      </c>
      <c r="H229" s="11">
        <f>IF(F229="","",ROUND(F229*G229,2))</f>
        <v/>
      </c>
      <c r="I229" s="6">
        <f>IF(F229="","",Config!$B$10)</f>
        <v/>
      </c>
      <c r="J229" s="11">
        <f>IF(F229="","",ROUND(F229*I229,2))</f>
        <v/>
      </c>
      <c r="K229" s="11">
        <f>IF(F229="","",F229+H229-J229)</f>
        <v/>
      </c>
      <c r="L229" s="12">
        <f>IF(A229="","",ROUNDUP(MONTH(A229)/3,0))</f>
        <v/>
      </c>
      <c r="M229" s="12">
        <f>IF(A229="","",MONTH(A229))</f>
        <v/>
      </c>
      <c r="N229" s="5" t="n"/>
    </row>
    <row r="230">
      <c r="A230" s="9" t="n"/>
      <c r="B230" s="5" t="n"/>
      <c r="C230" s="5" t="n"/>
      <c r="D230" s="5" t="n"/>
      <c r="E230" s="5" t="n"/>
      <c r="F230" s="10" t="n"/>
      <c r="G230" s="6">
        <f>IF(F230="","",Config!$B$9)</f>
        <v/>
      </c>
      <c r="H230" s="11">
        <f>IF(F230="","",ROUND(F230*G230,2))</f>
        <v/>
      </c>
      <c r="I230" s="6">
        <f>IF(F230="","",Config!$B$10)</f>
        <v/>
      </c>
      <c r="J230" s="11">
        <f>IF(F230="","",ROUND(F230*I230,2))</f>
        <v/>
      </c>
      <c r="K230" s="11">
        <f>IF(F230="","",F230+H230-J230)</f>
        <v/>
      </c>
      <c r="L230" s="12">
        <f>IF(A230="","",ROUNDUP(MONTH(A230)/3,0))</f>
        <v/>
      </c>
      <c r="M230" s="12">
        <f>IF(A230="","",MONTH(A230))</f>
        <v/>
      </c>
      <c r="N230" s="5" t="n"/>
    </row>
    <row r="231">
      <c r="A231" s="9" t="n"/>
      <c r="B231" s="5" t="n"/>
      <c r="C231" s="5" t="n"/>
      <c r="D231" s="5" t="n"/>
      <c r="E231" s="5" t="n"/>
      <c r="F231" s="10" t="n"/>
      <c r="G231" s="6">
        <f>IF(F231="","",Config!$B$9)</f>
        <v/>
      </c>
      <c r="H231" s="11">
        <f>IF(F231="","",ROUND(F231*G231,2))</f>
        <v/>
      </c>
      <c r="I231" s="6">
        <f>IF(F231="","",Config!$B$10)</f>
        <v/>
      </c>
      <c r="J231" s="11">
        <f>IF(F231="","",ROUND(F231*I231,2))</f>
        <v/>
      </c>
      <c r="K231" s="11">
        <f>IF(F231="","",F231+H231-J231)</f>
        <v/>
      </c>
      <c r="L231" s="12">
        <f>IF(A231="","",ROUNDUP(MONTH(A231)/3,0))</f>
        <v/>
      </c>
      <c r="M231" s="12">
        <f>IF(A231="","",MONTH(A231))</f>
        <v/>
      </c>
      <c r="N231" s="5" t="n"/>
    </row>
    <row r="232">
      <c r="A232" s="9" t="n"/>
      <c r="B232" s="5" t="n"/>
      <c r="C232" s="5" t="n"/>
      <c r="D232" s="5" t="n"/>
      <c r="E232" s="5" t="n"/>
      <c r="F232" s="10" t="n"/>
      <c r="G232" s="6">
        <f>IF(F232="","",Config!$B$9)</f>
        <v/>
      </c>
      <c r="H232" s="11">
        <f>IF(F232="","",ROUND(F232*G232,2))</f>
        <v/>
      </c>
      <c r="I232" s="6">
        <f>IF(F232="","",Config!$B$10)</f>
        <v/>
      </c>
      <c r="J232" s="11">
        <f>IF(F232="","",ROUND(F232*I232,2))</f>
        <v/>
      </c>
      <c r="K232" s="11">
        <f>IF(F232="","",F232+H232-J232)</f>
        <v/>
      </c>
      <c r="L232" s="12">
        <f>IF(A232="","",ROUNDUP(MONTH(A232)/3,0))</f>
        <v/>
      </c>
      <c r="M232" s="12">
        <f>IF(A232="","",MONTH(A232))</f>
        <v/>
      </c>
      <c r="N232" s="5" t="n"/>
    </row>
    <row r="233">
      <c r="A233" s="9" t="n"/>
      <c r="B233" s="5" t="n"/>
      <c r="C233" s="5" t="n"/>
      <c r="D233" s="5" t="n"/>
      <c r="E233" s="5" t="n"/>
      <c r="F233" s="10" t="n"/>
      <c r="G233" s="6">
        <f>IF(F233="","",Config!$B$9)</f>
        <v/>
      </c>
      <c r="H233" s="11">
        <f>IF(F233="","",ROUND(F233*G233,2))</f>
        <v/>
      </c>
      <c r="I233" s="6">
        <f>IF(F233="","",Config!$B$10)</f>
        <v/>
      </c>
      <c r="J233" s="11">
        <f>IF(F233="","",ROUND(F233*I233,2))</f>
        <v/>
      </c>
      <c r="K233" s="11">
        <f>IF(F233="","",F233+H233-J233)</f>
        <v/>
      </c>
      <c r="L233" s="12">
        <f>IF(A233="","",ROUNDUP(MONTH(A233)/3,0))</f>
        <v/>
      </c>
      <c r="M233" s="12">
        <f>IF(A233="","",MONTH(A233))</f>
        <v/>
      </c>
      <c r="N233" s="5" t="n"/>
    </row>
    <row r="234">
      <c r="A234" s="9" t="n"/>
      <c r="B234" s="5" t="n"/>
      <c r="C234" s="5" t="n"/>
      <c r="D234" s="5" t="n"/>
      <c r="E234" s="5" t="n"/>
      <c r="F234" s="10" t="n"/>
      <c r="G234" s="6">
        <f>IF(F234="","",Config!$B$9)</f>
        <v/>
      </c>
      <c r="H234" s="11">
        <f>IF(F234="","",ROUND(F234*G234,2))</f>
        <v/>
      </c>
      <c r="I234" s="6">
        <f>IF(F234="","",Config!$B$10)</f>
        <v/>
      </c>
      <c r="J234" s="11">
        <f>IF(F234="","",ROUND(F234*I234,2))</f>
        <v/>
      </c>
      <c r="K234" s="11">
        <f>IF(F234="","",F234+H234-J234)</f>
        <v/>
      </c>
      <c r="L234" s="12">
        <f>IF(A234="","",ROUNDUP(MONTH(A234)/3,0))</f>
        <v/>
      </c>
      <c r="M234" s="12">
        <f>IF(A234="","",MONTH(A234))</f>
        <v/>
      </c>
      <c r="N234" s="5" t="n"/>
    </row>
    <row r="235">
      <c r="A235" s="9" t="n"/>
      <c r="B235" s="5" t="n"/>
      <c r="C235" s="5" t="n"/>
      <c r="D235" s="5" t="n"/>
      <c r="E235" s="5" t="n"/>
      <c r="F235" s="10" t="n"/>
      <c r="G235" s="6">
        <f>IF(F235="","",Config!$B$9)</f>
        <v/>
      </c>
      <c r="H235" s="11">
        <f>IF(F235="","",ROUND(F235*G235,2))</f>
        <v/>
      </c>
      <c r="I235" s="6">
        <f>IF(F235="","",Config!$B$10)</f>
        <v/>
      </c>
      <c r="J235" s="11">
        <f>IF(F235="","",ROUND(F235*I235,2))</f>
        <v/>
      </c>
      <c r="K235" s="11">
        <f>IF(F235="","",F235+H235-J235)</f>
        <v/>
      </c>
      <c r="L235" s="12">
        <f>IF(A235="","",ROUNDUP(MONTH(A235)/3,0))</f>
        <v/>
      </c>
      <c r="M235" s="12">
        <f>IF(A235="","",MONTH(A235))</f>
        <v/>
      </c>
      <c r="N235" s="5" t="n"/>
    </row>
    <row r="236">
      <c r="A236" s="9" t="n"/>
      <c r="B236" s="5" t="n"/>
      <c r="C236" s="5" t="n"/>
      <c r="D236" s="5" t="n"/>
      <c r="E236" s="5" t="n"/>
      <c r="F236" s="10" t="n"/>
      <c r="G236" s="6">
        <f>IF(F236="","",Config!$B$9)</f>
        <v/>
      </c>
      <c r="H236" s="11">
        <f>IF(F236="","",ROUND(F236*G236,2))</f>
        <v/>
      </c>
      <c r="I236" s="6">
        <f>IF(F236="","",Config!$B$10)</f>
        <v/>
      </c>
      <c r="J236" s="11">
        <f>IF(F236="","",ROUND(F236*I236,2))</f>
        <v/>
      </c>
      <c r="K236" s="11">
        <f>IF(F236="","",F236+H236-J236)</f>
        <v/>
      </c>
      <c r="L236" s="12">
        <f>IF(A236="","",ROUNDUP(MONTH(A236)/3,0))</f>
        <v/>
      </c>
      <c r="M236" s="12">
        <f>IF(A236="","",MONTH(A236))</f>
        <v/>
      </c>
      <c r="N236" s="5" t="n"/>
    </row>
    <row r="237">
      <c r="A237" s="9" t="n"/>
      <c r="B237" s="5" t="n"/>
      <c r="C237" s="5" t="n"/>
      <c r="D237" s="5" t="n"/>
      <c r="E237" s="5" t="n"/>
      <c r="F237" s="10" t="n"/>
      <c r="G237" s="6">
        <f>IF(F237="","",Config!$B$9)</f>
        <v/>
      </c>
      <c r="H237" s="11">
        <f>IF(F237="","",ROUND(F237*G237,2))</f>
        <v/>
      </c>
      <c r="I237" s="6">
        <f>IF(F237="","",Config!$B$10)</f>
        <v/>
      </c>
      <c r="J237" s="11">
        <f>IF(F237="","",ROUND(F237*I237,2))</f>
        <v/>
      </c>
      <c r="K237" s="11">
        <f>IF(F237="","",F237+H237-J237)</f>
        <v/>
      </c>
      <c r="L237" s="12">
        <f>IF(A237="","",ROUNDUP(MONTH(A237)/3,0))</f>
        <v/>
      </c>
      <c r="M237" s="12">
        <f>IF(A237="","",MONTH(A237))</f>
        <v/>
      </c>
      <c r="N237" s="5" t="n"/>
    </row>
    <row r="238">
      <c r="A238" s="9" t="n"/>
      <c r="B238" s="5" t="n"/>
      <c r="C238" s="5" t="n"/>
      <c r="D238" s="5" t="n"/>
      <c r="E238" s="5" t="n"/>
      <c r="F238" s="10" t="n"/>
      <c r="G238" s="6">
        <f>IF(F238="","",Config!$B$9)</f>
        <v/>
      </c>
      <c r="H238" s="11">
        <f>IF(F238="","",ROUND(F238*G238,2))</f>
        <v/>
      </c>
      <c r="I238" s="6">
        <f>IF(F238="","",Config!$B$10)</f>
        <v/>
      </c>
      <c r="J238" s="11">
        <f>IF(F238="","",ROUND(F238*I238,2))</f>
        <v/>
      </c>
      <c r="K238" s="11">
        <f>IF(F238="","",F238+H238-J238)</f>
        <v/>
      </c>
      <c r="L238" s="12">
        <f>IF(A238="","",ROUNDUP(MONTH(A238)/3,0))</f>
        <v/>
      </c>
      <c r="M238" s="12">
        <f>IF(A238="","",MONTH(A238))</f>
        <v/>
      </c>
      <c r="N238" s="5" t="n"/>
    </row>
    <row r="239">
      <c r="A239" s="9" t="n"/>
      <c r="B239" s="5" t="n"/>
      <c r="C239" s="5" t="n"/>
      <c r="D239" s="5" t="n"/>
      <c r="E239" s="5" t="n"/>
      <c r="F239" s="10" t="n"/>
      <c r="G239" s="6">
        <f>IF(F239="","",Config!$B$9)</f>
        <v/>
      </c>
      <c r="H239" s="11">
        <f>IF(F239="","",ROUND(F239*G239,2))</f>
        <v/>
      </c>
      <c r="I239" s="6">
        <f>IF(F239="","",Config!$B$10)</f>
        <v/>
      </c>
      <c r="J239" s="11">
        <f>IF(F239="","",ROUND(F239*I239,2))</f>
        <v/>
      </c>
      <c r="K239" s="11">
        <f>IF(F239="","",F239+H239-J239)</f>
        <v/>
      </c>
      <c r="L239" s="12">
        <f>IF(A239="","",ROUNDUP(MONTH(A239)/3,0))</f>
        <v/>
      </c>
      <c r="M239" s="12">
        <f>IF(A239="","",MONTH(A239))</f>
        <v/>
      </c>
      <c r="N239" s="5" t="n"/>
    </row>
    <row r="240">
      <c r="A240" s="9" t="n"/>
      <c r="B240" s="5" t="n"/>
      <c r="C240" s="5" t="n"/>
      <c r="D240" s="5" t="n"/>
      <c r="E240" s="5" t="n"/>
      <c r="F240" s="10" t="n"/>
      <c r="G240" s="6">
        <f>IF(F240="","",Config!$B$9)</f>
        <v/>
      </c>
      <c r="H240" s="11">
        <f>IF(F240="","",ROUND(F240*G240,2))</f>
        <v/>
      </c>
      <c r="I240" s="6">
        <f>IF(F240="","",Config!$B$10)</f>
        <v/>
      </c>
      <c r="J240" s="11">
        <f>IF(F240="","",ROUND(F240*I240,2))</f>
        <v/>
      </c>
      <c r="K240" s="11">
        <f>IF(F240="","",F240+H240-J240)</f>
        <v/>
      </c>
      <c r="L240" s="12">
        <f>IF(A240="","",ROUNDUP(MONTH(A240)/3,0))</f>
        <v/>
      </c>
      <c r="M240" s="12">
        <f>IF(A240="","",MONTH(A240))</f>
        <v/>
      </c>
      <c r="N240" s="5" t="n"/>
    </row>
    <row r="241">
      <c r="A241" s="9" t="n"/>
      <c r="B241" s="5" t="n"/>
      <c r="C241" s="5" t="n"/>
      <c r="D241" s="5" t="n"/>
      <c r="E241" s="5" t="n"/>
      <c r="F241" s="10" t="n"/>
      <c r="G241" s="6">
        <f>IF(F241="","",Config!$B$9)</f>
        <v/>
      </c>
      <c r="H241" s="11">
        <f>IF(F241="","",ROUND(F241*G241,2))</f>
        <v/>
      </c>
      <c r="I241" s="6">
        <f>IF(F241="","",Config!$B$10)</f>
        <v/>
      </c>
      <c r="J241" s="11">
        <f>IF(F241="","",ROUND(F241*I241,2))</f>
        <v/>
      </c>
      <c r="K241" s="11">
        <f>IF(F241="","",F241+H241-J241)</f>
        <v/>
      </c>
      <c r="L241" s="12">
        <f>IF(A241="","",ROUNDUP(MONTH(A241)/3,0))</f>
        <v/>
      </c>
      <c r="M241" s="12">
        <f>IF(A241="","",MONTH(A241))</f>
        <v/>
      </c>
      <c r="N241" s="5" t="n"/>
    </row>
    <row r="242">
      <c r="A242" s="9" t="n"/>
      <c r="B242" s="5" t="n"/>
      <c r="C242" s="5" t="n"/>
      <c r="D242" s="5" t="n"/>
      <c r="E242" s="5" t="n"/>
      <c r="F242" s="10" t="n"/>
      <c r="G242" s="6">
        <f>IF(F242="","",Config!$B$9)</f>
        <v/>
      </c>
      <c r="H242" s="11">
        <f>IF(F242="","",ROUND(F242*G242,2))</f>
        <v/>
      </c>
      <c r="I242" s="6">
        <f>IF(F242="","",Config!$B$10)</f>
        <v/>
      </c>
      <c r="J242" s="11">
        <f>IF(F242="","",ROUND(F242*I242,2))</f>
        <v/>
      </c>
      <c r="K242" s="11">
        <f>IF(F242="","",F242+H242-J242)</f>
        <v/>
      </c>
      <c r="L242" s="12">
        <f>IF(A242="","",ROUNDUP(MONTH(A242)/3,0))</f>
        <v/>
      </c>
      <c r="M242" s="12">
        <f>IF(A242="","",MONTH(A242))</f>
        <v/>
      </c>
      <c r="N242" s="5" t="n"/>
    </row>
    <row r="243">
      <c r="A243" s="9" t="n"/>
      <c r="B243" s="5" t="n"/>
      <c r="C243" s="5" t="n"/>
      <c r="D243" s="5" t="n"/>
      <c r="E243" s="5" t="n"/>
      <c r="F243" s="10" t="n"/>
      <c r="G243" s="6">
        <f>IF(F243="","",Config!$B$9)</f>
        <v/>
      </c>
      <c r="H243" s="11">
        <f>IF(F243="","",ROUND(F243*G243,2))</f>
        <v/>
      </c>
      <c r="I243" s="6">
        <f>IF(F243="","",Config!$B$10)</f>
        <v/>
      </c>
      <c r="J243" s="11">
        <f>IF(F243="","",ROUND(F243*I243,2))</f>
        <v/>
      </c>
      <c r="K243" s="11">
        <f>IF(F243="","",F243+H243-J243)</f>
        <v/>
      </c>
      <c r="L243" s="12">
        <f>IF(A243="","",ROUNDUP(MONTH(A243)/3,0))</f>
        <v/>
      </c>
      <c r="M243" s="12">
        <f>IF(A243="","",MONTH(A243))</f>
        <v/>
      </c>
      <c r="N243" s="5" t="n"/>
    </row>
    <row r="244">
      <c r="A244" s="9" t="n"/>
      <c r="B244" s="5" t="n"/>
      <c r="C244" s="5" t="n"/>
      <c r="D244" s="5" t="n"/>
      <c r="E244" s="5" t="n"/>
      <c r="F244" s="10" t="n"/>
      <c r="G244" s="6">
        <f>IF(F244="","",Config!$B$9)</f>
        <v/>
      </c>
      <c r="H244" s="11">
        <f>IF(F244="","",ROUND(F244*G244,2))</f>
        <v/>
      </c>
      <c r="I244" s="6">
        <f>IF(F244="","",Config!$B$10)</f>
        <v/>
      </c>
      <c r="J244" s="11">
        <f>IF(F244="","",ROUND(F244*I244,2))</f>
        <v/>
      </c>
      <c r="K244" s="11">
        <f>IF(F244="","",F244+H244-J244)</f>
        <v/>
      </c>
      <c r="L244" s="12">
        <f>IF(A244="","",ROUNDUP(MONTH(A244)/3,0))</f>
        <v/>
      </c>
      <c r="M244" s="12">
        <f>IF(A244="","",MONTH(A244))</f>
        <v/>
      </c>
      <c r="N244" s="5" t="n"/>
    </row>
    <row r="245">
      <c r="A245" s="9" t="n"/>
      <c r="B245" s="5" t="n"/>
      <c r="C245" s="5" t="n"/>
      <c r="D245" s="5" t="n"/>
      <c r="E245" s="5" t="n"/>
      <c r="F245" s="10" t="n"/>
      <c r="G245" s="6">
        <f>IF(F245="","",Config!$B$9)</f>
        <v/>
      </c>
      <c r="H245" s="11">
        <f>IF(F245="","",ROUND(F245*G245,2))</f>
        <v/>
      </c>
      <c r="I245" s="6">
        <f>IF(F245="","",Config!$B$10)</f>
        <v/>
      </c>
      <c r="J245" s="11">
        <f>IF(F245="","",ROUND(F245*I245,2))</f>
        <v/>
      </c>
      <c r="K245" s="11">
        <f>IF(F245="","",F245+H245-J245)</f>
        <v/>
      </c>
      <c r="L245" s="12">
        <f>IF(A245="","",ROUNDUP(MONTH(A245)/3,0))</f>
        <v/>
      </c>
      <c r="M245" s="12">
        <f>IF(A245="","",MONTH(A245))</f>
        <v/>
      </c>
      <c r="N245" s="5" t="n"/>
    </row>
    <row r="246">
      <c r="A246" s="9" t="n"/>
      <c r="B246" s="5" t="n"/>
      <c r="C246" s="5" t="n"/>
      <c r="D246" s="5" t="n"/>
      <c r="E246" s="5" t="n"/>
      <c r="F246" s="10" t="n"/>
      <c r="G246" s="6">
        <f>IF(F246="","",Config!$B$9)</f>
        <v/>
      </c>
      <c r="H246" s="11">
        <f>IF(F246="","",ROUND(F246*G246,2))</f>
        <v/>
      </c>
      <c r="I246" s="6">
        <f>IF(F246="","",Config!$B$10)</f>
        <v/>
      </c>
      <c r="J246" s="11">
        <f>IF(F246="","",ROUND(F246*I246,2))</f>
        <v/>
      </c>
      <c r="K246" s="11">
        <f>IF(F246="","",F246+H246-J246)</f>
        <v/>
      </c>
      <c r="L246" s="12">
        <f>IF(A246="","",ROUNDUP(MONTH(A246)/3,0))</f>
        <v/>
      </c>
      <c r="M246" s="12">
        <f>IF(A246="","",MONTH(A246))</f>
        <v/>
      </c>
      <c r="N246" s="5" t="n"/>
    </row>
    <row r="247">
      <c r="A247" s="9" t="n"/>
      <c r="B247" s="5" t="n"/>
      <c r="C247" s="5" t="n"/>
      <c r="D247" s="5" t="n"/>
      <c r="E247" s="5" t="n"/>
      <c r="F247" s="10" t="n"/>
      <c r="G247" s="6">
        <f>IF(F247="","",Config!$B$9)</f>
        <v/>
      </c>
      <c r="H247" s="11">
        <f>IF(F247="","",ROUND(F247*G247,2))</f>
        <v/>
      </c>
      <c r="I247" s="6">
        <f>IF(F247="","",Config!$B$10)</f>
        <v/>
      </c>
      <c r="J247" s="11">
        <f>IF(F247="","",ROUND(F247*I247,2))</f>
        <v/>
      </c>
      <c r="K247" s="11">
        <f>IF(F247="","",F247+H247-J247)</f>
        <v/>
      </c>
      <c r="L247" s="12">
        <f>IF(A247="","",ROUNDUP(MONTH(A247)/3,0))</f>
        <v/>
      </c>
      <c r="M247" s="12">
        <f>IF(A247="","",MONTH(A247))</f>
        <v/>
      </c>
      <c r="N247" s="5" t="n"/>
    </row>
    <row r="248">
      <c r="A248" s="9" t="n"/>
      <c r="B248" s="5" t="n"/>
      <c r="C248" s="5" t="n"/>
      <c r="D248" s="5" t="n"/>
      <c r="E248" s="5" t="n"/>
      <c r="F248" s="10" t="n"/>
      <c r="G248" s="6">
        <f>IF(F248="","",Config!$B$9)</f>
        <v/>
      </c>
      <c r="H248" s="11">
        <f>IF(F248="","",ROUND(F248*G248,2))</f>
        <v/>
      </c>
      <c r="I248" s="6">
        <f>IF(F248="","",Config!$B$10)</f>
        <v/>
      </c>
      <c r="J248" s="11">
        <f>IF(F248="","",ROUND(F248*I248,2))</f>
        <v/>
      </c>
      <c r="K248" s="11">
        <f>IF(F248="","",F248+H248-J248)</f>
        <v/>
      </c>
      <c r="L248" s="12">
        <f>IF(A248="","",ROUNDUP(MONTH(A248)/3,0))</f>
        <v/>
      </c>
      <c r="M248" s="12">
        <f>IF(A248="","",MONTH(A248))</f>
        <v/>
      </c>
      <c r="N248" s="5" t="n"/>
    </row>
    <row r="249">
      <c r="A249" s="9" t="n"/>
      <c r="B249" s="5" t="n"/>
      <c r="C249" s="5" t="n"/>
      <c r="D249" s="5" t="n"/>
      <c r="E249" s="5" t="n"/>
      <c r="F249" s="10" t="n"/>
      <c r="G249" s="6">
        <f>IF(F249="","",Config!$B$9)</f>
        <v/>
      </c>
      <c r="H249" s="11">
        <f>IF(F249="","",ROUND(F249*G249,2))</f>
        <v/>
      </c>
      <c r="I249" s="6">
        <f>IF(F249="","",Config!$B$10)</f>
        <v/>
      </c>
      <c r="J249" s="11">
        <f>IF(F249="","",ROUND(F249*I249,2))</f>
        <v/>
      </c>
      <c r="K249" s="11">
        <f>IF(F249="","",F249+H249-J249)</f>
        <v/>
      </c>
      <c r="L249" s="12">
        <f>IF(A249="","",ROUNDUP(MONTH(A249)/3,0))</f>
        <v/>
      </c>
      <c r="M249" s="12">
        <f>IF(A249="","",MONTH(A249))</f>
        <v/>
      </c>
      <c r="N249" s="5" t="n"/>
    </row>
    <row r="250">
      <c r="A250" s="9" t="n"/>
      <c r="B250" s="5" t="n"/>
      <c r="C250" s="5" t="n"/>
      <c r="D250" s="5" t="n"/>
      <c r="E250" s="5" t="n"/>
      <c r="F250" s="10" t="n"/>
      <c r="G250" s="6">
        <f>IF(F250="","",Config!$B$9)</f>
        <v/>
      </c>
      <c r="H250" s="11">
        <f>IF(F250="","",ROUND(F250*G250,2))</f>
        <v/>
      </c>
      <c r="I250" s="6">
        <f>IF(F250="","",Config!$B$10)</f>
        <v/>
      </c>
      <c r="J250" s="11">
        <f>IF(F250="","",ROUND(F250*I250,2))</f>
        <v/>
      </c>
      <c r="K250" s="11">
        <f>IF(F250="","",F250+H250-J250)</f>
        <v/>
      </c>
      <c r="L250" s="12">
        <f>IF(A250="","",ROUNDUP(MONTH(A250)/3,0))</f>
        <v/>
      </c>
      <c r="M250" s="12">
        <f>IF(A250="","",MONTH(A250))</f>
        <v/>
      </c>
      <c r="N250" s="5" t="n"/>
    </row>
    <row r="251">
      <c r="A251" s="9" t="n"/>
      <c r="B251" s="5" t="n"/>
      <c r="C251" s="5" t="n"/>
      <c r="D251" s="5" t="n"/>
      <c r="E251" s="5" t="n"/>
      <c r="F251" s="10" t="n"/>
      <c r="G251" s="6">
        <f>IF(F251="","",Config!$B$9)</f>
        <v/>
      </c>
      <c r="H251" s="11">
        <f>IF(F251="","",ROUND(F251*G251,2))</f>
        <v/>
      </c>
      <c r="I251" s="6">
        <f>IF(F251="","",Config!$B$10)</f>
        <v/>
      </c>
      <c r="J251" s="11">
        <f>IF(F251="","",ROUND(F251*I251,2))</f>
        <v/>
      </c>
      <c r="K251" s="11">
        <f>IF(F251="","",F251+H251-J251)</f>
        <v/>
      </c>
      <c r="L251" s="12">
        <f>IF(A251="","",ROUNDUP(MONTH(A251)/3,0))</f>
        <v/>
      </c>
      <c r="M251" s="12">
        <f>IF(A251="","",MONTH(A251))</f>
        <v/>
      </c>
      <c r="N251" s="5" t="n"/>
    </row>
    <row r="252">
      <c r="A252" s="9" t="n"/>
      <c r="B252" s="5" t="n"/>
      <c r="C252" s="5" t="n"/>
      <c r="D252" s="5" t="n"/>
      <c r="E252" s="5" t="n"/>
      <c r="F252" s="10" t="n"/>
      <c r="G252" s="6">
        <f>IF(F252="","",Config!$B$9)</f>
        <v/>
      </c>
      <c r="H252" s="11">
        <f>IF(F252="","",ROUND(F252*G252,2))</f>
        <v/>
      </c>
      <c r="I252" s="6">
        <f>IF(F252="","",Config!$B$10)</f>
        <v/>
      </c>
      <c r="J252" s="11">
        <f>IF(F252="","",ROUND(F252*I252,2))</f>
        <v/>
      </c>
      <c r="K252" s="11">
        <f>IF(F252="","",F252+H252-J252)</f>
        <v/>
      </c>
      <c r="L252" s="12">
        <f>IF(A252="","",ROUNDUP(MONTH(A252)/3,0))</f>
        <v/>
      </c>
      <c r="M252" s="12">
        <f>IF(A252="","",MONTH(A252))</f>
        <v/>
      </c>
      <c r="N252" s="5" t="n"/>
    </row>
    <row r="253">
      <c r="A253" s="9" t="n"/>
      <c r="B253" s="5" t="n"/>
      <c r="C253" s="5" t="n"/>
      <c r="D253" s="5" t="n"/>
      <c r="E253" s="5" t="n"/>
      <c r="F253" s="10" t="n"/>
      <c r="G253" s="6">
        <f>IF(F253="","",Config!$B$9)</f>
        <v/>
      </c>
      <c r="H253" s="11">
        <f>IF(F253="","",ROUND(F253*G253,2))</f>
        <v/>
      </c>
      <c r="I253" s="6">
        <f>IF(F253="","",Config!$B$10)</f>
        <v/>
      </c>
      <c r="J253" s="11">
        <f>IF(F253="","",ROUND(F253*I253,2))</f>
        <v/>
      </c>
      <c r="K253" s="11">
        <f>IF(F253="","",F253+H253-J253)</f>
        <v/>
      </c>
      <c r="L253" s="12">
        <f>IF(A253="","",ROUNDUP(MONTH(A253)/3,0))</f>
        <v/>
      </c>
      <c r="M253" s="12">
        <f>IF(A253="","",MONTH(A253))</f>
        <v/>
      </c>
      <c r="N253" s="5" t="n"/>
    </row>
    <row r="254">
      <c r="A254" s="9" t="n"/>
      <c r="B254" s="5" t="n"/>
      <c r="C254" s="5" t="n"/>
      <c r="D254" s="5" t="n"/>
      <c r="E254" s="5" t="n"/>
      <c r="F254" s="10" t="n"/>
      <c r="G254" s="6">
        <f>IF(F254="","",Config!$B$9)</f>
        <v/>
      </c>
      <c r="H254" s="11">
        <f>IF(F254="","",ROUND(F254*G254,2))</f>
        <v/>
      </c>
      <c r="I254" s="6">
        <f>IF(F254="","",Config!$B$10)</f>
        <v/>
      </c>
      <c r="J254" s="11">
        <f>IF(F254="","",ROUND(F254*I254,2))</f>
        <v/>
      </c>
      <c r="K254" s="11">
        <f>IF(F254="","",F254+H254-J254)</f>
        <v/>
      </c>
      <c r="L254" s="12">
        <f>IF(A254="","",ROUNDUP(MONTH(A254)/3,0))</f>
        <v/>
      </c>
      <c r="M254" s="12">
        <f>IF(A254="","",MONTH(A254))</f>
        <v/>
      </c>
      <c r="N254" s="5" t="n"/>
    </row>
    <row r="255">
      <c r="A255" s="9" t="n"/>
      <c r="B255" s="5" t="n"/>
      <c r="C255" s="5" t="n"/>
      <c r="D255" s="5" t="n"/>
      <c r="E255" s="5" t="n"/>
      <c r="F255" s="10" t="n"/>
      <c r="G255" s="6">
        <f>IF(F255="","",Config!$B$9)</f>
        <v/>
      </c>
      <c r="H255" s="11">
        <f>IF(F255="","",ROUND(F255*G255,2))</f>
        <v/>
      </c>
      <c r="I255" s="6">
        <f>IF(F255="","",Config!$B$10)</f>
        <v/>
      </c>
      <c r="J255" s="11">
        <f>IF(F255="","",ROUND(F255*I255,2))</f>
        <v/>
      </c>
      <c r="K255" s="11">
        <f>IF(F255="","",F255+H255-J255)</f>
        <v/>
      </c>
      <c r="L255" s="12">
        <f>IF(A255="","",ROUNDUP(MONTH(A255)/3,0))</f>
        <v/>
      </c>
      <c r="M255" s="12">
        <f>IF(A255="","",MONTH(A255))</f>
        <v/>
      </c>
      <c r="N255" s="5" t="n"/>
    </row>
    <row r="256">
      <c r="A256" s="9" t="n"/>
      <c r="B256" s="5" t="n"/>
      <c r="C256" s="5" t="n"/>
      <c r="D256" s="5" t="n"/>
      <c r="E256" s="5" t="n"/>
      <c r="F256" s="10" t="n"/>
      <c r="G256" s="6">
        <f>IF(F256="","",Config!$B$9)</f>
        <v/>
      </c>
      <c r="H256" s="11">
        <f>IF(F256="","",ROUND(F256*G256,2))</f>
        <v/>
      </c>
      <c r="I256" s="6">
        <f>IF(F256="","",Config!$B$10)</f>
        <v/>
      </c>
      <c r="J256" s="11">
        <f>IF(F256="","",ROUND(F256*I256,2))</f>
        <v/>
      </c>
      <c r="K256" s="11">
        <f>IF(F256="","",F256+H256-J256)</f>
        <v/>
      </c>
      <c r="L256" s="12">
        <f>IF(A256="","",ROUNDUP(MONTH(A256)/3,0))</f>
        <v/>
      </c>
      <c r="M256" s="12">
        <f>IF(A256="","",MONTH(A256))</f>
        <v/>
      </c>
      <c r="N256" s="5" t="n"/>
    </row>
    <row r="257">
      <c r="A257" s="9" t="n"/>
      <c r="B257" s="5" t="n"/>
      <c r="C257" s="5" t="n"/>
      <c r="D257" s="5" t="n"/>
      <c r="E257" s="5" t="n"/>
      <c r="F257" s="10" t="n"/>
      <c r="G257" s="6">
        <f>IF(F257="","",Config!$B$9)</f>
        <v/>
      </c>
      <c r="H257" s="11">
        <f>IF(F257="","",ROUND(F257*G257,2))</f>
        <v/>
      </c>
      <c r="I257" s="6">
        <f>IF(F257="","",Config!$B$10)</f>
        <v/>
      </c>
      <c r="J257" s="11">
        <f>IF(F257="","",ROUND(F257*I257,2))</f>
        <v/>
      </c>
      <c r="K257" s="11">
        <f>IF(F257="","",F257+H257-J257)</f>
        <v/>
      </c>
      <c r="L257" s="12">
        <f>IF(A257="","",ROUNDUP(MONTH(A257)/3,0))</f>
        <v/>
      </c>
      <c r="M257" s="12">
        <f>IF(A257="","",MONTH(A257))</f>
        <v/>
      </c>
      <c r="N257" s="5" t="n"/>
    </row>
    <row r="258">
      <c r="A258" s="9" t="n"/>
      <c r="B258" s="5" t="n"/>
      <c r="C258" s="5" t="n"/>
      <c r="D258" s="5" t="n"/>
      <c r="E258" s="5" t="n"/>
      <c r="F258" s="10" t="n"/>
      <c r="G258" s="6">
        <f>IF(F258="","",Config!$B$9)</f>
        <v/>
      </c>
      <c r="H258" s="11">
        <f>IF(F258="","",ROUND(F258*G258,2))</f>
        <v/>
      </c>
      <c r="I258" s="6">
        <f>IF(F258="","",Config!$B$10)</f>
        <v/>
      </c>
      <c r="J258" s="11">
        <f>IF(F258="","",ROUND(F258*I258,2))</f>
        <v/>
      </c>
      <c r="K258" s="11">
        <f>IF(F258="","",F258+H258-J258)</f>
        <v/>
      </c>
      <c r="L258" s="12">
        <f>IF(A258="","",ROUNDUP(MONTH(A258)/3,0))</f>
        <v/>
      </c>
      <c r="M258" s="12">
        <f>IF(A258="","",MONTH(A258))</f>
        <v/>
      </c>
      <c r="N258" s="5" t="n"/>
    </row>
    <row r="259">
      <c r="A259" s="9" t="n"/>
      <c r="B259" s="5" t="n"/>
      <c r="C259" s="5" t="n"/>
      <c r="D259" s="5" t="n"/>
      <c r="E259" s="5" t="n"/>
      <c r="F259" s="10" t="n"/>
      <c r="G259" s="6">
        <f>IF(F259="","",Config!$B$9)</f>
        <v/>
      </c>
      <c r="H259" s="11">
        <f>IF(F259="","",ROUND(F259*G259,2))</f>
        <v/>
      </c>
      <c r="I259" s="6">
        <f>IF(F259="","",Config!$B$10)</f>
        <v/>
      </c>
      <c r="J259" s="11">
        <f>IF(F259="","",ROUND(F259*I259,2))</f>
        <v/>
      </c>
      <c r="K259" s="11">
        <f>IF(F259="","",F259+H259-J259)</f>
        <v/>
      </c>
      <c r="L259" s="12">
        <f>IF(A259="","",ROUNDUP(MONTH(A259)/3,0))</f>
        <v/>
      </c>
      <c r="M259" s="12">
        <f>IF(A259="","",MONTH(A259))</f>
        <v/>
      </c>
      <c r="N259" s="5" t="n"/>
    </row>
    <row r="260">
      <c r="A260" s="9" t="n"/>
      <c r="B260" s="5" t="n"/>
      <c r="C260" s="5" t="n"/>
      <c r="D260" s="5" t="n"/>
      <c r="E260" s="5" t="n"/>
      <c r="F260" s="10" t="n"/>
      <c r="G260" s="6">
        <f>IF(F260="","",Config!$B$9)</f>
        <v/>
      </c>
      <c r="H260" s="11">
        <f>IF(F260="","",ROUND(F260*G260,2))</f>
        <v/>
      </c>
      <c r="I260" s="6">
        <f>IF(F260="","",Config!$B$10)</f>
        <v/>
      </c>
      <c r="J260" s="11">
        <f>IF(F260="","",ROUND(F260*I260,2))</f>
        <v/>
      </c>
      <c r="K260" s="11">
        <f>IF(F260="","",F260+H260-J260)</f>
        <v/>
      </c>
      <c r="L260" s="12">
        <f>IF(A260="","",ROUNDUP(MONTH(A260)/3,0))</f>
        <v/>
      </c>
      <c r="M260" s="12">
        <f>IF(A260="","",MONTH(A260))</f>
        <v/>
      </c>
      <c r="N260" s="5" t="n"/>
    </row>
    <row r="261">
      <c r="A261" s="9" t="n"/>
      <c r="B261" s="5" t="n"/>
      <c r="C261" s="5" t="n"/>
      <c r="D261" s="5" t="n"/>
      <c r="E261" s="5" t="n"/>
      <c r="F261" s="10" t="n"/>
      <c r="G261" s="6">
        <f>IF(F261="","",Config!$B$9)</f>
        <v/>
      </c>
      <c r="H261" s="11">
        <f>IF(F261="","",ROUND(F261*G261,2))</f>
        <v/>
      </c>
      <c r="I261" s="6">
        <f>IF(F261="","",Config!$B$10)</f>
        <v/>
      </c>
      <c r="J261" s="11">
        <f>IF(F261="","",ROUND(F261*I261,2))</f>
        <v/>
      </c>
      <c r="K261" s="11">
        <f>IF(F261="","",F261+H261-J261)</f>
        <v/>
      </c>
      <c r="L261" s="12">
        <f>IF(A261="","",ROUNDUP(MONTH(A261)/3,0))</f>
        <v/>
      </c>
      <c r="M261" s="12">
        <f>IF(A261="","",MONTH(A261))</f>
        <v/>
      </c>
      <c r="N261" s="5" t="n"/>
    </row>
    <row r="262">
      <c r="A262" s="9" t="n"/>
      <c r="B262" s="5" t="n"/>
      <c r="C262" s="5" t="n"/>
      <c r="D262" s="5" t="n"/>
      <c r="E262" s="5" t="n"/>
      <c r="F262" s="10" t="n"/>
      <c r="G262" s="6">
        <f>IF(F262="","",Config!$B$9)</f>
        <v/>
      </c>
      <c r="H262" s="11">
        <f>IF(F262="","",ROUND(F262*G262,2))</f>
        <v/>
      </c>
      <c r="I262" s="6">
        <f>IF(F262="","",Config!$B$10)</f>
        <v/>
      </c>
      <c r="J262" s="11">
        <f>IF(F262="","",ROUND(F262*I262,2))</f>
        <v/>
      </c>
      <c r="K262" s="11">
        <f>IF(F262="","",F262+H262-J262)</f>
        <v/>
      </c>
      <c r="L262" s="12">
        <f>IF(A262="","",ROUNDUP(MONTH(A262)/3,0))</f>
        <v/>
      </c>
      <c r="M262" s="12">
        <f>IF(A262="","",MONTH(A262))</f>
        <v/>
      </c>
      <c r="N262" s="5" t="n"/>
    </row>
    <row r="263">
      <c r="A263" s="9" t="n"/>
      <c r="B263" s="5" t="n"/>
      <c r="C263" s="5" t="n"/>
      <c r="D263" s="5" t="n"/>
      <c r="E263" s="5" t="n"/>
      <c r="F263" s="10" t="n"/>
      <c r="G263" s="6">
        <f>IF(F263="","",Config!$B$9)</f>
        <v/>
      </c>
      <c r="H263" s="11">
        <f>IF(F263="","",ROUND(F263*G263,2))</f>
        <v/>
      </c>
      <c r="I263" s="6">
        <f>IF(F263="","",Config!$B$10)</f>
        <v/>
      </c>
      <c r="J263" s="11">
        <f>IF(F263="","",ROUND(F263*I263,2))</f>
        <v/>
      </c>
      <c r="K263" s="11">
        <f>IF(F263="","",F263+H263-J263)</f>
        <v/>
      </c>
      <c r="L263" s="12">
        <f>IF(A263="","",ROUNDUP(MONTH(A263)/3,0))</f>
        <v/>
      </c>
      <c r="M263" s="12">
        <f>IF(A263="","",MONTH(A263))</f>
        <v/>
      </c>
      <c r="N263" s="5" t="n"/>
    </row>
    <row r="264">
      <c r="A264" s="9" t="n"/>
      <c r="B264" s="5" t="n"/>
      <c r="C264" s="5" t="n"/>
      <c r="D264" s="5" t="n"/>
      <c r="E264" s="5" t="n"/>
      <c r="F264" s="10" t="n"/>
      <c r="G264" s="6">
        <f>IF(F264="","",Config!$B$9)</f>
        <v/>
      </c>
      <c r="H264" s="11">
        <f>IF(F264="","",ROUND(F264*G264,2))</f>
        <v/>
      </c>
      <c r="I264" s="6">
        <f>IF(F264="","",Config!$B$10)</f>
        <v/>
      </c>
      <c r="J264" s="11">
        <f>IF(F264="","",ROUND(F264*I264,2))</f>
        <v/>
      </c>
      <c r="K264" s="11">
        <f>IF(F264="","",F264+H264-J264)</f>
        <v/>
      </c>
      <c r="L264" s="12">
        <f>IF(A264="","",ROUNDUP(MONTH(A264)/3,0))</f>
        <v/>
      </c>
      <c r="M264" s="12">
        <f>IF(A264="","",MONTH(A264))</f>
        <v/>
      </c>
      <c r="N264" s="5" t="n"/>
    </row>
    <row r="265">
      <c r="A265" s="9" t="n"/>
      <c r="B265" s="5" t="n"/>
      <c r="C265" s="5" t="n"/>
      <c r="D265" s="5" t="n"/>
      <c r="E265" s="5" t="n"/>
      <c r="F265" s="10" t="n"/>
      <c r="G265" s="6">
        <f>IF(F265="","",Config!$B$9)</f>
        <v/>
      </c>
      <c r="H265" s="11">
        <f>IF(F265="","",ROUND(F265*G265,2))</f>
        <v/>
      </c>
      <c r="I265" s="6">
        <f>IF(F265="","",Config!$B$10)</f>
        <v/>
      </c>
      <c r="J265" s="11">
        <f>IF(F265="","",ROUND(F265*I265,2))</f>
        <v/>
      </c>
      <c r="K265" s="11">
        <f>IF(F265="","",F265+H265-J265)</f>
        <v/>
      </c>
      <c r="L265" s="12">
        <f>IF(A265="","",ROUNDUP(MONTH(A265)/3,0))</f>
        <v/>
      </c>
      <c r="M265" s="12">
        <f>IF(A265="","",MONTH(A265))</f>
        <v/>
      </c>
      <c r="N265" s="5" t="n"/>
    </row>
    <row r="266">
      <c r="A266" s="9" t="n"/>
      <c r="B266" s="5" t="n"/>
      <c r="C266" s="5" t="n"/>
      <c r="D266" s="5" t="n"/>
      <c r="E266" s="5" t="n"/>
      <c r="F266" s="10" t="n"/>
      <c r="G266" s="6">
        <f>IF(F266="","",Config!$B$9)</f>
        <v/>
      </c>
      <c r="H266" s="11">
        <f>IF(F266="","",ROUND(F266*G266,2))</f>
        <v/>
      </c>
      <c r="I266" s="6">
        <f>IF(F266="","",Config!$B$10)</f>
        <v/>
      </c>
      <c r="J266" s="11">
        <f>IF(F266="","",ROUND(F266*I266,2))</f>
        <v/>
      </c>
      <c r="K266" s="11">
        <f>IF(F266="","",F266+H266-J266)</f>
        <v/>
      </c>
      <c r="L266" s="12">
        <f>IF(A266="","",ROUNDUP(MONTH(A266)/3,0))</f>
        <v/>
      </c>
      <c r="M266" s="12">
        <f>IF(A266="","",MONTH(A266))</f>
        <v/>
      </c>
      <c r="N266" s="5" t="n"/>
    </row>
    <row r="267">
      <c r="A267" s="9" t="n"/>
      <c r="B267" s="5" t="n"/>
      <c r="C267" s="5" t="n"/>
      <c r="D267" s="5" t="n"/>
      <c r="E267" s="5" t="n"/>
      <c r="F267" s="10" t="n"/>
      <c r="G267" s="6">
        <f>IF(F267="","",Config!$B$9)</f>
        <v/>
      </c>
      <c r="H267" s="11">
        <f>IF(F267="","",ROUND(F267*G267,2))</f>
        <v/>
      </c>
      <c r="I267" s="6">
        <f>IF(F267="","",Config!$B$10)</f>
        <v/>
      </c>
      <c r="J267" s="11">
        <f>IF(F267="","",ROUND(F267*I267,2))</f>
        <v/>
      </c>
      <c r="K267" s="11">
        <f>IF(F267="","",F267+H267-J267)</f>
        <v/>
      </c>
      <c r="L267" s="12">
        <f>IF(A267="","",ROUNDUP(MONTH(A267)/3,0))</f>
        <v/>
      </c>
      <c r="M267" s="12">
        <f>IF(A267="","",MONTH(A267))</f>
        <v/>
      </c>
      <c r="N267" s="5" t="n"/>
    </row>
    <row r="268">
      <c r="A268" s="9" t="n"/>
      <c r="B268" s="5" t="n"/>
      <c r="C268" s="5" t="n"/>
      <c r="D268" s="5" t="n"/>
      <c r="E268" s="5" t="n"/>
      <c r="F268" s="10" t="n"/>
      <c r="G268" s="6">
        <f>IF(F268="","",Config!$B$9)</f>
        <v/>
      </c>
      <c r="H268" s="11">
        <f>IF(F268="","",ROUND(F268*G268,2))</f>
        <v/>
      </c>
      <c r="I268" s="6">
        <f>IF(F268="","",Config!$B$10)</f>
        <v/>
      </c>
      <c r="J268" s="11">
        <f>IF(F268="","",ROUND(F268*I268,2))</f>
        <v/>
      </c>
      <c r="K268" s="11">
        <f>IF(F268="","",F268+H268-J268)</f>
        <v/>
      </c>
      <c r="L268" s="12">
        <f>IF(A268="","",ROUNDUP(MONTH(A268)/3,0))</f>
        <v/>
      </c>
      <c r="M268" s="12">
        <f>IF(A268="","",MONTH(A268))</f>
        <v/>
      </c>
      <c r="N268" s="5" t="n"/>
    </row>
    <row r="269">
      <c r="A269" s="9" t="n"/>
      <c r="B269" s="5" t="n"/>
      <c r="C269" s="5" t="n"/>
      <c r="D269" s="5" t="n"/>
      <c r="E269" s="5" t="n"/>
      <c r="F269" s="10" t="n"/>
      <c r="G269" s="6">
        <f>IF(F269="","",Config!$B$9)</f>
        <v/>
      </c>
      <c r="H269" s="11">
        <f>IF(F269="","",ROUND(F269*G269,2))</f>
        <v/>
      </c>
      <c r="I269" s="6">
        <f>IF(F269="","",Config!$B$10)</f>
        <v/>
      </c>
      <c r="J269" s="11">
        <f>IF(F269="","",ROUND(F269*I269,2))</f>
        <v/>
      </c>
      <c r="K269" s="11">
        <f>IF(F269="","",F269+H269-J269)</f>
        <v/>
      </c>
      <c r="L269" s="12">
        <f>IF(A269="","",ROUNDUP(MONTH(A269)/3,0))</f>
        <v/>
      </c>
      <c r="M269" s="12">
        <f>IF(A269="","",MONTH(A269))</f>
        <v/>
      </c>
      <c r="N269" s="5" t="n"/>
    </row>
    <row r="270">
      <c r="A270" s="9" t="n"/>
      <c r="B270" s="5" t="n"/>
      <c r="C270" s="5" t="n"/>
      <c r="D270" s="5" t="n"/>
      <c r="E270" s="5" t="n"/>
      <c r="F270" s="10" t="n"/>
      <c r="G270" s="6">
        <f>IF(F270="","",Config!$B$9)</f>
        <v/>
      </c>
      <c r="H270" s="11">
        <f>IF(F270="","",ROUND(F270*G270,2))</f>
        <v/>
      </c>
      <c r="I270" s="6">
        <f>IF(F270="","",Config!$B$10)</f>
        <v/>
      </c>
      <c r="J270" s="11">
        <f>IF(F270="","",ROUND(F270*I270,2))</f>
        <v/>
      </c>
      <c r="K270" s="11">
        <f>IF(F270="","",F270+H270-J270)</f>
        <v/>
      </c>
      <c r="L270" s="12">
        <f>IF(A270="","",ROUNDUP(MONTH(A270)/3,0))</f>
        <v/>
      </c>
      <c r="M270" s="12">
        <f>IF(A270="","",MONTH(A270))</f>
        <v/>
      </c>
      <c r="N270" s="5" t="n"/>
    </row>
    <row r="271">
      <c r="A271" s="9" t="n"/>
      <c r="B271" s="5" t="n"/>
      <c r="C271" s="5" t="n"/>
      <c r="D271" s="5" t="n"/>
      <c r="E271" s="5" t="n"/>
      <c r="F271" s="10" t="n"/>
      <c r="G271" s="6">
        <f>IF(F271="","",Config!$B$9)</f>
        <v/>
      </c>
      <c r="H271" s="11">
        <f>IF(F271="","",ROUND(F271*G271,2))</f>
        <v/>
      </c>
      <c r="I271" s="6">
        <f>IF(F271="","",Config!$B$10)</f>
        <v/>
      </c>
      <c r="J271" s="11">
        <f>IF(F271="","",ROUND(F271*I271,2))</f>
        <v/>
      </c>
      <c r="K271" s="11">
        <f>IF(F271="","",F271+H271-J271)</f>
        <v/>
      </c>
      <c r="L271" s="12">
        <f>IF(A271="","",ROUNDUP(MONTH(A271)/3,0))</f>
        <v/>
      </c>
      <c r="M271" s="12">
        <f>IF(A271="","",MONTH(A271))</f>
        <v/>
      </c>
      <c r="N271" s="5" t="n"/>
    </row>
    <row r="272">
      <c r="A272" s="9" t="n"/>
      <c r="B272" s="5" t="n"/>
      <c r="C272" s="5" t="n"/>
      <c r="D272" s="5" t="n"/>
      <c r="E272" s="5" t="n"/>
      <c r="F272" s="10" t="n"/>
      <c r="G272" s="6">
        <f>IF(F272="","",Config!$B$9)</f>
        <v/>
      </c>
      <c r="H272" s="11">
        <f>IF(F272="","",ROUND(F272*G272,2))</f>
        <v/>
      </c>
      <c r="I272" s="6">
        <f>IF(F272="","",Config!$B$10)</f>
        <v/>
      </c>
      <c r="J272" s="11">
        <f>IF(F272="","",ROUND(F272*I272,2))</f>
        <v/>
      </c>
      <c r="K272" s="11">
        <f>IF(F272="","",F272+H272-J272)</f>
        <v/>
      </c>
      <c r="L272" s="12">
        <f>IF(A272="","",ROUNDUP(MONTH(A272)/3,0))</f>
        <v/>
      </c>
      <c r="M272" s="12">
        <f>IF(A272="","",MONTH(A272))</f>
        <v/>
      </c>
      <c r="N272" s="5" t="n"/>
    </row>
    <row r="273">
      <c r="A273" s="9" t="n"/>
      <c r="B273" s="5" t="n"/>
      <c r="C273" s="5" t="n"/>
      <c r="D273" s="5" t="n"/>
      <c r="E273" s="5" t="n"/>
      <c r="F273" s="10" t="n"/>
      <c r="G273" s="6">
        <f>IF(F273="","",Config!$B$9)</f>
        <v/>
      </c>
      <c r="H273" s="11">
        <f>IF(F273="","",ROUND(F273*G273,2))</f>
        <v/>
      </c>
      <c r="I273" s="6">
        <f>IF(F273="","",Config!$B$10)</f>
        <v/>
      </c>
      <c r="J273" s="11">
        <f>IF(F273="","",ROUND(F273*I273,2))</f>
        <v/>
      </c>
      <c r="K273" s="11">
        <f>IF(F273="","",F273+H273-J273)</f>
        <v/>
      </c>
      <c r="L273" s="12">
        <f>IF(A273="","",ROUNDUP(MONTH(A273)/3,0))</f>
        <v/>
      </c>
      <c r="M273" s="12">
        <f>IF(A273="","",MONTH(A273))</f>
        <v/>
      </c>
      <c r="N273" s="5" t="n"/>
    </row>
    <row r="274">
      <c r="A274" s="9" t="n"/>
      <c r="B274" s="5" t="n"/>
      <c r="C274" s="5" t="n"/>
      <c r="D274" s="5" t="n"/>
      <c r="E274" s="5" t="n"/>
      <c r="F274" s="10" t="n"/>
      <c r="G274" s="6">
        <f>IF(F274="","",Config!$B$9)</f>
        <v/>
      </c>
      <c r="H274" s="11">
        <f>IF(F274="","",ROUND(F274*G274,2))</f>
        <v/>
      </c>
      <c r="I274" s="6">
        <f>IF(F274="","",Config!$B$10)</f>
        <v/>
      </c>
      <c r="J274" s="11">
        <f>IF(F274="","",ROUND(F274*I274,2))</f>
        <v/>
      </c>
      <c r="K274" s="11">
        <f>IF(F274="","",F274+H274-J274)</f>
        <v/>
      </c>
      <c r="L274" s="12">
        <f>IF(A274="","",ROUNDUP(MONTH(A274)/3,0))</f>
        <v/>
      </c>
      <c r="M274" s="12">
        <f>IF(A274="","",MONTH(A274))</f>
        <v/>
      </c>
      <c r="N274" s="5" t="n"/>
    </row>
    <row r="275">
      <c r="A275" s="9" t="n"/>
      <c r="B275" s="5" t="n"/>
      <c r="C275" s="5" t="n"/>
      <c r="D275" s="5" t="n"/>
      <c r="E275" s="5" t="n"/>
      <c r="F275" s="10" t="n"/>
      <c r="G275" s="6">
        <f>IF(F275="","",Config!$B$9)</f>
        <v/>
      </c>
      <c r="H275" s="11">
        <f>IF(F275="","",ROUND(F275*G275,2))</f>
        <v/>
      </c>
      <c r="I275" s="6">
        <f>IF(F275="","",Config!$B$10)</f>
        <v/>
      </c>
      <c r="J275" s="11">
        <f>IF(F275="","",ROUND(F275*I275,2))</f>
        <v/>
      </c>
      <c r="K275" s="11">
        <f>IF(F275="","",F275+H275-J275)</f>
        <v/>
      </c>
      <c r="L275" s="12">
        <f>IF(A275="","",ROUNDUP(MONTH(A275)/3,0))</f>
        <v/>
      </c>
      <c r="M275" s="12">
        <f>IF(A275="","",MONTH(A275))</f>
        <v/>
      </c>
      <c r="N275" s="5" t="n"/>
    </row>
    <row r="276">
      <c r="A276" s="9" t="n"/>
      <c r="B276" s="5" t="n"/>
      <c r="C276" s="5" t="n"/>
      <c r="D276" s="5" t="n"/>
      <c r="E276" s="5" t="n"/>
      <c r="F276" s="10" t="n"/>
      <c r="G276" s="6">
        <f>IF(F276="","",Config!$B$9)</f>
        <v/>
      </c>
      <c r="H276" s="11">
        <f>IF(F276="","",ROUND(F276*G276,2))</f>
        <v/>
      </c>
      <c r="I276" s="6">
        <f>IF(F276="","",Config!$B$10)</f>
        <v/>
      </c>
      <c r="J276" s="11">
        <f>IF(F276="","",ROUND(F276*I276,2))</f>
        <v/>
      </c>
      <c r="K276" s="11">
        <f>IF(F276="","",F276+H276-J276)</f>
        <v/>
      </c>
      <c r="L276" s="12">
        <f>IF(A276="","",ROUNDUP(MONTH(A276)/3,0))</f>
        <v/>
      </c>
      <c r="M276" s="12">
        <f>IF(A276="","",MONTH(A276))</f>
        <v/>
      </c>
      <c r="N276" s="5" t="n"/>
    </row>
    <row r="277">
      <c r="A277" s="9" t="n"/>
      <c r="B277" s="5" t="n"/>
      <c r="C277" s="5" t="n"/>
      <c r="D277" s="5" t="n"/>
      <c r="E277" s="5" t="n"/>
      <c r="F277" s="10" t="n"/>
      <c r="G277" s="6">
        <f>IF(F277="","",Config!$B$9)</f>
        <v/>
      </c>
      <c r="H277" s="11">
        <f>IF(F277="","",ROUND(F277*G277,2))</f>
        <v/>
      </c>
      <c r="I277" s="6">
        <f>IF(F277="","",Config!$B$10)</f>
        <v/>
      </c>
      <c r="J277" s="11">
        <f>IF(F277="","",ROUND(F277*I277,2))</f>
        <v/>
      </c>
      <c r="K277" s="11">
        <f>IF(F277="","",F277+H277-J277)</f>
        <v/>
      </c>
      <c r="L277" s="12">
        <f>IF(A277="","",ROUNDUP(MONTH(A277)/3,0))</f>
        <v/>
      </c>
      <c r="M277" s="12">
        <f>IF(A277="","",MONTH(A277))</f>
        <v/>
      </c>
      <c r="N277" s="5" t="n"/>
    </row>
    <row r="278">
      <c r="A278" s="9" t="n"/>
      <c r="B278" s="5" t="n"/>
      <c r="C278" s="5" t="n"/>
      <c r="D278" s="5" t="n"/>
      <c r="E278" s="5" t="n"/>
      <c r="F278" s="10" t="n"/>
      <c r="G278" s="6">
        <f>IF(F278="","",Config!$B$9)</f>
        <v/>
      </c>
      <c r="H278" s="11">
        <f>IF(F278="","",ROUND(F278*G278,2))</f>
        <v/>
      </c>
      <c r="I278" s="6">
        <f>IF(F278="","",Config!$B$10)</f>
        <v/>
      </c>
      <c r="J278" s="11">
        <f>IF(F278="","",ROUND(F278*I278,2))</f>
        <v/>
      </c>
      <c r="K278" s="11">
        <f>IF(F278="","",F278+H278-J278)</f>
        <v/>
      </c>
      <c r="L278" s="12">
        <f>IF(A278="","",ROUNDUP(MONTH(A278)/3,0))</f>
        <v/>
      </c>
      <c r="M278" s="12">
        <f>IF(A278="","",MONTH(A278))</f>
        <v/>
      </c>
      <c r="N278" s="5" t="n"/>
    </row>
    <row r="279">
      <c r="A279" s="9" t="n"/>
      <c r="B279" s="5" t="n"/>
      <c r="C279" s="5" t="n"/>
      <c r="D279" s="5" t="n"/>
      <c r="E279" s="5" t="n"/>
      <c r="F279" s="10" t="n"/>
      <c r="G279" s="6">
        <f>IF(F279="","",Config!$B$9)</f>
        <v/>
      </c>
      <c r="H279" s="11">
        <f>IF(F279="","",ROUND(F279*G279,2))</f>
        <v/>
      </c>
      <c r="I279" s="6">
        <f>IF(F279="","",Config!$B$10)</f>
        <v/>
      </c>
      <c r="J279" s="11">
        <f>IF(F279="","",ROUND(F279*I279,2))</f>
        <v/>
      </c>
      <c r="K279" s="11">
        <f>IF(F279="","",F279+H279-J279)</f>
        <v/>
      </c>
      <c r="L279" s="12">
        <f>IF(A279="","",ROUNDUP(MONTH(A279)/3,0))</f>
        <v/>
      </c>
      <c r="M279" s="12">
        <f>IF(A279="","",MONTH(A279))</f>
        <v/>
      </c>
      <c r="N279" s="5" t="n"/>
    </row>
    <row r="280">
      <c r="A280" s="9" t="n"/>
      <c r="B280" s="5" t="n"/>
      <c r="C280" s="5" t="n"/>
      <c r="D280" s="5" t="n"/>
      <c r="E280" s="5" t="n"/>
      <c r="F280" s="10" t="n"/>
      <c r="G280" s="6">
        <f>IF(F280="","",Config!$B$9)</f>
        <v/>
      </c>
      <c r="H280" s="11">
        <f>IF(F280="","",ROUND(F280*G280,2))</f>
        <v/>
      </c>
      <c r="I280" s="6">
        <f>IF(F280="","",Config!$B$10)</f>
        <v/>
      </c>
      <c r="J280" s="11">
        <f>IF(F280="","",ROUND(F280*I280,2))</f>
        <v/>
      </c>
      <c r="K280" s="11">
        <f>IF(F280="","",F280+H280-J280)</f>
        <v/>
      </c>
      <c r="L280" s="12">
        <f>IF(A280="","",ROUNDUP(MONTH(A280)/3,0))</f>
        <v/>
      </c>
      <c r="M280" s="12">
        <f>IF(A280="","",MONTH(A280))</f>
        <v/>
      </c>
      <c r="N280" s="5" t="n"/>
    </row>
    <row r="281">
      <c r="A281" s="9" t="n"/>
      <c r="B281" s="5" t="n"/>
      <c r="C281" s="5" t="n"/>
      <c r="D281" s="5" t="n"/>
      <c r="E281" s="5" t="n"/>
      <c r="F281" s="10" t="n"/>
      <c r="G281" s="6">
        <f>IF(F281="","",Config!$B$9)</f>
        <v/>
      </c>
      <c r="H281" s="11">
        <f>IF(F281="","",ROUND(F281*G281,2))</f>
        <v/>
      </c>
      <c r="I281" s="6">
        <f>IF(F281="","",Config!$B$10)</f>
        <v/>
      </c>
      <c r="J281" s="11">
        <f>IF(F281="","",ROUND(F281*I281,2))</f>
        <v/>
      </c>
      <c r="K281" s="11">
        <f>IF(F281="","",F281+H281-J281)</f>
        <v/>
      </c>
      <c r="L281" s="12">
        <f>IF(A281="","",ROUNDUP(MONTH(A281)/3,0))</f>
        <v/>
      </c>
      <c r="M281" s="12">
        <f>IF(A281="","",MONTH(A281))</f>
        <v/>
      </c>
      <c r="N281" s="5" t="n"/>
    </row>
    <row r="282">
      <c r="A282" s="9" t="n"/>
      <c r="B282" s="5" t="n"/>
      <c r="C282" s="5" t="n"/>
      <c r="D282" s="5" t="n"/>
      <c r="E282" s="5" t="n"/>
      <c r="F282" s="10" t="n"/>
      <c r="G282" s="6">
        <f>IF(F282="","",Config!$B$9)</f>
        <v/>
      </c>
      <c r="H282" s="11">
        <f>IF(F282="","",ROUND(F282*G282,2))</f>
        <v/>
      </c>
      <c r="I282" s="6">
        <f>IF(F282="","",Config!$B$10)</f>
        <v/>
      </c>
      <c r="J282" s="11">
        <f>IF(F282="","",ROUND(F282*I282,2))</f>
        <v/>
      </c>
      <c r="K282" s="11">
        <f>IF(F282="","",F282+H282-J282)</f>
        <v/>
      </c>
      <c r="L282" s="12">
        <f>IF(A282="","",ROUNDUP(MONTH(A282)/3,0))</f>
        <v/>
      </c>
      <c r="M282" s="12">
        <f>IF(A282="","",MONTH(A282))</f>
        <v/>
      </c>
      <c r="N282" s="5" t="n"/>
    </row>
    <row r="283">
      <c r="A283" s="9" t="n"/>
      <c r="B283" s="5" t="n"/>
      <c r="C283" s="5" t="n"/>
      <c r="D283" s="5" t="n"/>
      <c r="E283" s="5" t="n"/>
      <c r="F283" s="10" t="n"/>
      <c r="G283" s="6">
        <f>IF(F283="","",Config!$B$9)</f>
        <v/>
      </c>
      <c r="H283" s="11">
        <f>IF(F283="","",ROUND(F283*G283,2))</f>
        <v/>
      </c>
      <c r="I283" s="6">
        <f>IF(F283="","",Config!$B$10)</f>
        <v/>
      </c>
      <c r="J283" s="11">
        <f>IF(F283="","",ROUND(F283*I283,2))</f>
        <v/>
      </c>
      <c r="K283" s="11">
        <f>IF(F283="","",F283+H283-J283)</f>
        <v/>
      </c>
      <c r="L283" s="12">
        <f>IF(A283="","",ROUNDUP(MONTH(A283)/3,0))</f>
        <v/>
      </c>
      <c r="M283" s="12">
        <f>IF(A283="","",MONTH(A283))</f>
        <v/>
      </c>
      <c r="N283" s="5" t="n"/>
    </row>
    <row r="284">
      <c r="A284" s="9" t="n"/>
      <c r="B284" s="5" t="n"/>
      <c r="C284" s="5" t="n"/>
      <c r="D284" s="5" t="n"/>
      <c r="E284" s="5" t="n"/>
      <c r="F284" s="10" t="n"/>
      <c r="G284" s="6">
        <f>IF(F284="","",Config!$B$9)</f>
        <v/>
      </c>
      <c r="H284" s="11">
        <f>IF(F284="","",ROUND(F284*G284,2))</f>
        <v/>
      </c>
      <c r="I284" s="6">
        <f>IF(F284="","",Config!$B$10)</f>
        <v/>
      </c>
      <c r="J284" s="11">
        <f>IF(F284="","",ROUND(F284*I284,2))</f>
        <v/>
      </c>
      <c r="K284" s="11">
        <f>IF(F284="","",F284+H284-J284)</f>
        <v/>
      </c>
      <c r="L284" s="12">
        <f>IF(A284="","",ROUNDUP(MONTH(A284)/3,0))</f>
        <v/>
      </c>
      <c r="M284" s="12">
        <f>IF(A284="","",MONTH(A284))</f>
        <v/>
      </c>
      <c r="N284" s="5" t="n"/>
    </row>
    <row r="285">
      <c r="A285" s="9" t="n"/>
      <c r="B285" s="5" t="n"/>
      <c r="C285" s="5" t="n"/>
      <c r="D285" s="5" t="n"/>
      <c r="E285" s="5" t="n"/>
      <c r="F285" s="10" t="n"/>
      <c r="G285" s="6">
        <f>IF(F285="","",Config!$B$9)</f>
        <v/>
      </c>
      <c r="H285" s="11">
        <f>IF(F285="","",ROUND(F285*G285,2))</f>
        <v/>
      </c>
      <c r="I285" s="6">
        <f>IF(F285="","",Config!$B$10)</f>
        <v/>
      </c>
      <c r="J285" s="11">
        <f>IF(F285="","",ROUND(F285*I285,2))</f>
        <v/>
      </c>
      <c r="K285" s="11">
        <f>IF(F285="","",F285+H285-J285)</f>
        <v/>
      </c>
      <c r="L285" s="12">
        <f>IF(A285="","",ROUNDUP(MONTH(A285)/3,0))</f>
        <v/>
      </c>
      <c r="M285" s="12">
        <f>IF(A285="","",MONTH(A285))</f>
        <v/>
      </c>
      <c r="N285" s="5" t="n"/>
    </row>
    <row r="286">
      <c r="A286" s="9" t="n"/>
      <c r="B286" s="5" t="n"/>
      <c r="C286" s="5" t="n"/>
      <c r="D286" s="5" t="n"/>
      <c r="E286" s="5" t="n"/>
      <c r="F286" s="10" t="n"/>
      <c r="G286" s="6">
        <f>IF(F286="","",Config!$B$9)</f>
        <v/>
      </c>
      <c r="H286" s="11">
        <f>IF(F286="","",ROUND(F286*G286,2))</f>
        <v/>
      </c>
      <c r="I286" s="6">
        <f>IF(F286="","",Config!$B$10)</f>
        <v/>
      </c>
      <c r="J286" s="11">
        <f>IF(F286="","",ROUND(F286*I286,2))</f>
        <v/>
      </c>
      <c r="K286" s="11">
        <f>IF(F286="","",F286+H286-J286)</f>
        <v/>
      </c>
      <c r="L286" s="12">
        <f>IF(A286="","",ROUNDUP(MONTH(A286)/3,0))</f>
        <v/>
      </c>
      <c r="M286" s="12">
        <f>IF(A286="","",MONTH(A286))</f>
        <v/>
      </c>
      <c r="N286" s="5" t="n"/>
    </row>
    <row r="287">
      <c r="A287" s="9" t="n"/>
      <c r="B287" s="5" t="n"/>
      <c r="C287" s="5" t="n"/>
      <c r="D287" s="5" t="n"/>
      <c r="E287" s="5" t="n"/>
      <c r="F287" s="10" t="n"/>
      <c r="G287" s="6">
        <f>IF(F287="","",Config!$B$9)</f>
        <v/>
      </c>
      <c r="H287" s="11">
        <f>IF(F287="","",ROUND(F287*G287,2))</f>
        <v/>
      </c>
      <c r="I287" s="6">
        <f>IF(F287="","",Config!$B$10)</f>
        <v/>
      </c>
      <c r="J287" s="11">
        <f>IF(F287="","",ROUND(F287*I287,2))</f>
        <v/>
      </c>
      <c r="K287" s="11">
        <f>IF(F287="","",F287+H287-J287)</f>
        <v/>
      </c>
      <c r="L287" s="12">
        <f>IF(A287="","",ROUNDUP(MONTH(A287)/3,0))</f>
        <v/>
      </c>
      <c r="M287" s="12">
        <f>IF(A287="","",MONTH(A287))</f>
        <v/>
      </c>
      <c r="N287" s="5" t="n"/>
    </row>
    <row r="288">
      <c r="A288" s="9" t="n"/>
      <c r="B288" s="5" t="n"/>
      <c r="C288" s="5" t="n"/>
      <c r="D288" s="5" t="n"/>
      <c r="E288" s="5" t="n"/>
      <c r="F288" s="10" t="n"/>
      <c r="G288" s="6">
        <f>IF(F288="","",Config!$B$9)</f>
        <v/>
      </c>
      <c r="H288" s="11">
        <f>IF(F288="","",ROUND(F288*G288,2))</f>
        <v/>
      </c>
      <c r="I288" s="6">
        <f>IF(F288="","",Config!$B$10)</f>
        <v/>
      </c>
      <c r="J288" s="11">
        <f>IF(F288="","",ROUND(F288*I288,2))</f>
        <v/>
      </c>
      <c r="K288" s="11">
        <f>IF(F288="","",F288+H288-J288)</f>
        <v/>
      </c>
      <c r="L288" s="12">
        <f>IF(A288="","",ROUNDUP(MONTH(A288)/3,0))</f>
        <v/>
      </c>
      <c r="M288" s="12">
        <f>IF(A288="","",MONTH(A288))</f>
        <v/>
      </c>
      <c r="N288" s="5" t="n"/>
    </row>
    <row r="289">
      <c r="A289" s="9" t="n"/>
      <c r="B289" s="5" t="n"/>
      <c r="C289" s="5" t="n"/>
      <c r="D289" s="5" t="n"/>
      <c r="E289" s="5" t="n"/>
      <c r="F289" s="10" t="n"/>
      <c r="G289" s="6">
        <f>IF(F289="","",Config!$B$9)</f>
        <v/>
      </c>
      <c r="H289" s="11">
        <f>IF(F289="","",ROUND(F289*G289,2))</f>
        <v/>
      </c>
      <c r="I289" s="6">
        <f>IF(F289="","",Config!$B$10)</f>
        <v/>
      </c>
      <c r="J289" s="11">
        <f>IF(F289="","",ROUND(F289*I289,2))</f>
        <v/>
      </c>
      <c r="K289" s="11">
        <f>IF(F289="","",F289+H289-J289)</f>
        <v/>
      </c>
      <c r="L289" s="12">
        <f>IF(A289="","",ROUNDUP(MONTH(A289)/3,0))</f>
        <v/>
      </c>
      <c r="M289" s="12">
        <f>IF(A289="","",MONTH(A289))</f>
        <v/>
      </c>
      <c r="N289" s="5" t="n"/>
    </row>
    <row r="290">
      <c r="A290" s="9" t="n"/>
      <c r="B290" s="5" t="n"/>
      <c r="C290" s="5" t="n"/>
      <c r="D290" s="5" t="n"/>
      <c r="E290" s="5" t="n"/>
      <c r="F290" s="10" t="n"/>
      <c r="G290" s="6">
        <f>IF(F290="","",Config!$B$9)</f>
        <v/>
      </c>
      <c r="H290" s="11">
        <f>IF(F290="","",ROUND(F290*G290,2))</f>
        <v/>
      </c>
      <c r="I290" s="6">
        <f>IF(F290="","",Config!$B$10)</f>
        <v/>
      </c>
      <c r="J290" s="11">
        <f>IF(F290="","",ROUND(F290*I290,2))</f>
        <v/>
      </c>
      <c r="K290" s="11">
        <f>IF(F290="","",F290+H290-J290)</f>
        <v/>
      </c>
      <c r="L290" s="12">
        <f>IF(A290="","",ROUNDUP(MONTH(A290)/3,0))</f>
        <v/>
      </c>
      <c r="M290" s="12">
        <f>IF(A290="","",MONTH(A290))</f>
        <v/>
      </c>
      <c r="N290" s="5" t="n"/>
    </row>
    <row r="291">
      <c r="A291" s="9" t="n"/>
      <c r="B291" s="5" t="n"/>
      <c r="C291" s="5" t="n"/>
      <c r="D291" s="5" t="n"/>
      <c r="E291" s="5" t="n"/>
      <c r="F291" s="10" t="n"/>
      <c r="G291" s="6">
        <f>IF(F291="","",Config!$B$9)</f>
        <v/>
      </c>
      <c r="H291" s="11">
        <f>IF(F291="","",ROUND(F291*G291,2))</f>
        <v/>
      </c>
      <c r="I291" s="6">
        <f>IF(F291="","",Config!$B$10)</f>
        <v/>
      </c>
      <c r="J291" s="11">
        <f>IF(F291="","",ROUND(F291*I291,2))</f>
        <v/>
      </c>
      <c r="K291" s="11">
        <f>IF(F291="","",F291+H291-J291)</f>
        <v/>
      </c>
      <c r="L291" s="12">
        <f>IF(A291="","",ROUNDUP(MONTH(A291)/3,0))</f>
        <v/>
      </c>
      <c r="M291" s="12">
        <f>IF(A291="","",MONTH(A291))</f>
        <v/>
      </c>
      <c r="N291" s="5" t="n"/>
    </row>
    <row r="292">
      <c r="A292" s="9" t="n"/>
      <c r="B292" s="5" t="n"/>
      <c r="C292" s="5" t="n"/>
      <c r="D292" s="5" t="n"/>
      <c r="E292" s="5" t="n"/>
      <c r="F292" s="10" t="n"/>
      <c r="G292" s="6">
        <f>IF(F292="","",Config!$B$9)</f>
        <v/>
      </c>
      <c r="H292" s="11">
        <f>IF(F292="","",ROUND(F292*G292,2))</f>
        <v/>
      </c>
      <c r="I292" s="6">
        <f>IF(F292="","",Config!$B$10)</f>
        <v/>
      </c>
      <c r="J292" s="11">
        <f>IF(F292="","",ROUND(F292*I292,2))</f>
        <v/>
      </c>
      <c r="K292" s="11">
        <f>IF(F292="","",F292+H292-J292)</f>
        <v/>
      </c>
      <c r="L292" s="12">
        <f>IF(A292="","",ROUNDUP(MONTH(A292)/3,0))</f>
        <v/>
      </c>
      <c r="M292" s="12">
        <f>IF(A292="","",MONTH(A292))</f>
        <v/>
      </c>
      <c r="N292" s="5" t="n"/>
    </row>
    <row r="293">
      <c r="A293" s="9" t="n"/>
      <c r="B293" s="5" t="n"/>
      <c r="C293" s="5" t="n"/>
      <c r="D293" s="5" t="n"/>
      <c r="E293" s="5" t="n"/>
      <c r="F293" s="10" t="n"/>
      <c r="G293" s="6">
        <f>IF(F293="","",Config!$B$9)</f>
        <v/>
      </c>
      <c r="H293" s="11">
        <f>IF(F293="","",ROUND(F293*G293,2))</f>
        <v/>
      </c>
      <c r="I293" s="6">
        <f>IF(F293="","",Config!$B$10)</f>
        <v/>
      </c>
      <c r="J293" s="11">
        <f>IF(F293="","",ROUND(F293*I293,2))</f>
        <v/>
      </c>
      <c r="K293" s="11">
        <f>IF(F293="","",F293+H293-J293)</f>
        <v/>
      </c>
      <c r="L293" s="12">
        <f>IF(A293="","",ROUNDUP(MONTH(A293)/3,0))</f>
        <v/>
      </c>
      <c r="M293" s="12">
        <f>IF(A293="","",MONTH(A293))</f>
        <v/>
      </c>
      <c r="N293" s="5" t="n"/>
    </row>
    <row r="294">
      <c r="A294" s="9" t="n"/>
      <c r="B294" s="5" t="n"/>
      <c r="C294" s="5" t="n"/>
      <c r="D294" s="5" t="n"/>
      <c r="E294" s="5" t="n"/>
      <c r="F294" s="10" t="n"/>
      <c r="G294" s="6">
        <f>IF(F294="","",Config!$B$9)</f>
        <v/>
      </c>
      <c r="H294" s="11">
        <f>IF(F294="","",ROUND(F294*G294,2))</f>
        <v/>
      </c>
      <c r="I294" s="6">
        <f>IF(F294="","",Config!$B$10)</f>
        <v/>
      </c>
      <c r="J294" s="11">
        <f>IF(F294="","",ROUND(F294*I294,2))</f>
        <v/>
      </c>
      <c r="K294" s="11">
        <f>IF(F294="","",F294+H294-J294)</f>
        <v/>
      </c>
      <c r="L294" s="12">
        <f>IF(A294="","",ROUNDUP(MONTH(A294)/3,0))</f>
        <v/>
      </c>
      <c r="M294" s="12">
        <f>IF(A294="","",MONTH(A294))</f>
        <v/>
      </c>
      <c r="N294" s="5" t="n"/>
    </row>
    <row r="295">
      <c r="A295" s="9" t="n"/>
      <c r="B295" s="5" t="n"/>
      <c r="C295" s="5" t="n"/>
      <c r="D295" s="5" t="n"/>
      <c r="E295" s="5" t="n"/>
      <c r="F295" s="10" t="n"/>
      <c r="G295" s="6">
        <f>IF(F295="","",Config!$B$9)</f>
        <v/>
      </c>
      <c r="H295" s="11">
        <f>IF(F295="","",ROUND(F295*G295,2))</f>
        <v/>
      </c>
      <c r="I295" s="6">
        <f>IF(F295="","",Config!$B$10)</f>
        <v/>
      </c>
      <c r="J295" s="11">
        <f>IF(F295="","",ROUND(F295*I295,2))</f>
        <v/>
      </c>
      <c r="K295" s="11">
        <f>IF(F295="","",F295+H295-J295)</f>
        <v/>
      </c>
      <c r="L295" s="12">
        <f>IF(A295="","",ROUNDUP(MONTH(A295)/3,0))</f>
        <v/>
      </c>
      <c r="M295" s="12">
        <f>IF(A295="","",MONTH(A295))</f>
        <v/>
      </c>
      <c r="N295" s="5" t="n"/>
    </row>
    <row r="296">
      <c r="A296" s="9" t="n"/>
      <c r="B296" s="5" t="n"/>
      <c r="C296" s="5" t="n"/>
      <c r="D296" s="5" t="n"/>
      <c r="E296" s="5" t="n"/>
      <c r="F296" s="10" t="n"/>
      <c r="G296" s="6">
        <f>IF(F296="","",Config!$B$9)</f>
        <v/>
      </c>
      <c r="H296" s="11">
        <f>IF(F296="","",ROUND(F296*G296,2))</f>
        <v/>
      </c>
      <c r="I296" s="6">
        <f>IF(F296="","",Config!$B$10)</f>
        <v/>
      </c>
      <c r="J296" s="11">
        <f>IF(F296="","",ROUND(F296*I296,2))</f>
        <v/>
      </c>
      <c r="K296" s="11">
        <f>IF(F296="","",F296+H296-J296)</f>
        <v/>
      </c>
      <c r="L296" s="12">
        <f>IF(A296="","",ROUNDUP(MONTH(A296)/3,0))</f>
        <v/>
      </c>
      <c r="M296" s="12">
        <f>IF(A296="","",MONTH(A296))</f>
        <v/>
      </c>
      <c r="N296" s="5" t="n"/>
    </row>
    <row r="297">
      <c r="A297" s="9" t="n"/>
      <c r="B297" s="5" t="n"/>
      <c r="C297" s="5" t="n"/>
      <c r="D297" s="5" t="n"/>
      <c r="E297" s="5" t="n"/>
      <c r="F297" s="10" t="n"/>
      <c r="G297" s="6">
        <f>IF(F297="","",Config!$B$9)</f>
        <v/>
      </c>
      <c r="H297" s="11">
        <f>IF(F297="","",ROUND(F297*G297,2))</f>
        <v/>
      </c>
      <c r="I297" s="6">
        <f>IF(F297="","",Config!$B$10)</f>
        <v/>
      </c>
      <c r="J297" s="11">
        <f>IF(F297="","",ROUND(F297*I297,2))</f>
        <v/>
      </c>
      <c r="K297" s="11">
        <f>IF(F297="","",F297+H297-J297)</f>
        <v/>
      </c>
      <c r="L297" s="12">
        <f>IF(A297="","",ROUNDUP(MONTH(A297)/3,0))</f>
        <v/>
      </c>
      <c r="M297" s="12">
        <f>IF(A297="","",MONTH(A297))</f>
        <v/>
      </c>
      <c r="N297" s="5" t="n"/>
    </row>
    <row r="298">
      <c r="A298" s="9" t="n"/>
      <c r="B298" s="5" t="n"/>
      <c r="C298" s="5" t="n"/>
      <c r="D298" s="5" t="n"/>
      <c r="E298" s="5" t="n"/>
      <c r="F298" s="10" t="n"/>
      <c r="G298" s="6">
        <f>IF(F298="","",Config!$B$9)</f>
        <v/>
      </c>
      <c r="H298" s="11">
        <f>IF(F298="","",ROUND(F298*G298,2))</f>
        <v/>
      </c>
      <c r="I298" s="6">
        <f>IF(F298="","",Config!$B$10)</f>
        <v/>
      </c>
      <c r="J298" s="11">
        <f>IF(F298="","",ROUND(F298*I298,2))</f>
        <v/>
      </c>
      <c r="K298" s="11">
        <f>IF(F298="","",F298+H298-J298)</f>
        <v/>
      </c>
      <c r="L298" s="12">
        <f>IF(A298="","",ROUNDUP(MONTH(A298)/3,0))</f>
        <v/>
      </c>
      <c r="M298" s="12">
        <f>IF(A298="","",MONTH(A298))</f>
        <v/>
      </c>
      <c r="N298" s="5" t="n"/>
    </row>
    <row r="299">
      <c r="A299" s="9" t="n"/>
      <c r="B299" s="5" t="n"/>
      <c r="C299" s="5" t="n"/>
      <c r="D299" s="5" t="n"/>
      <c r="E299" s="5" t="n"/>
      <c r="F299" s="10" t="n"/>
      <c r="G299" s="6">
        <f>IF(F299="","",Config!$B$9)</f>
        <v/>
      </c>
      <c r="H299" s="11">
        <f>IF(F299="","",ROUND(F299*G299,2))</f>
        <v/>
      </c>
      <c r="I299" s="6">
        <f>IF(F299="","",Config!$B$10)</f>
        <v/>
      </c>
      <c r="J299" s="11">
        <f>IF(F299="","",ROUND(F299*I299,2))</f>
        <v/>
      </c>
      <c r="K299" s="11">
        <f>IF(F299="","",F299+H299-J299)</f>
        <v/>
      </c>
      <c r="L299" s="12">
        <f>IF(A299="","",ROUNDUP(MONTH(A299)/3,0))</f>
        <v/>
      </c>
      <c r="M299" s="12">
        <f>IF(A299="","",MONTH(A299))</f>
        <v/>
      </c>
      <c r="N299" s="5" t="n"/>
    </row>
    <row r="300">
      <c r="A300" s="9" t="n"/>
      <c r="B300" s="5" t="n"/>
      <c r="C300" s="5" t="n"/>
      <c r="D300" s="5" t="n"/>
      <c r="E300" s="5" t="n"/>
      <c r="F300" s="10" t="n"/>
      <c r="G300" s="6">
        <f>IF(F300="","",Config!$B$9)</f>
        <v/>
      </c>
      <c r="H300" s="11">
        <f>IF(F300="","",ROUND(F300*G300,2))</f>
        <v/>
      </c>
      <c r="I300" s="6">
        <f>IF(F300="","",Config!$B$10)</f>
        <v/>
      </c>
      <c r="J300" s="11">
        <f>IF(F300="","",ROUND(F300*I300,2))</f>
        <v/>
      </c>
      <c r="K300" s="11">
        <f>IF(F300="","",F300+H300-J300)</f>
        <v/>
      </c>
      <c r="L300" s="12">
        <f>IF(A300="","",ROUNDUP(MONTH(A300)/3,0))</f>
        <v/>
      </c>
      <c r="M300" s="12">
        <f>IF(A300="","",MONTH(A300))</f>
        <v/>
      </c>
      <c r="N300" s="5" t="n"/>
    </row>
    <row r="301">
      <c r="A301" s="9" t="n"/>
      <c r="B301" s="5" t="n"/>
      <c r="C301" s="5" t="n"/>
      <c r="D301" s="5" t="n"/>
      <c r="E301" s="5" t="n"/>
      <c r="F301" s="10" t="n"/>
      <c r="G301" s="6">
        <f>IF(F301="","",Config!$B$9)</f>
        <v/>
      </c>
      <c r="H301" s="11">
        <f>IF(F301="","",ROUND(F301*G301,2))</f>
        <v/>
      </c>
      <c r="I301" s="6">
        <f>IF(F301="","",Config!$B$10)</f>
        <v/>
      </c>
      <c r="J301" s="11">
        <f>IF(F301="","",ROUND(F301*I301,2))</f>
        <v/>
      </c>
      <c r="K301" s="11">
        <f>IF(F301="","",F301+H301-J301)</f>
        <v/>
      </c>
      <c r="L301" s="12">
        <f>IF(A301="","",ROUNDUP(MONTH(A301)/3,0))</f>
        <v/>
      </c>
      <c r="M301" s="12">
        <f>IF(A301="","",MONTH(A301))</f>
        <v/>
      </c>
      <c r="N301" s="5" t="n"/>
    </row>
  </sheetData>
  <conditionalFormatting sqref="N2:N301">
    <cfRule type="cellIs" priority="1" operator="equal" dxfId="0">
      <formula>"No"</formula>
    </cfRule>
  </conditionalFormatting>
  <dataValidations count="1">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showDropDown="0" showInputMessage="0" showErrorMessage="0" allowBlank="1" type="list">
      <formula1>"Sí,No"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4" customWidth="1" min="3" max="3"/>
    <col width="30" customWidth="1" min="4" max="4"/>
    <col width="28" customWidth="1" min="5" max="5"/>
    <col width="15" customWidth="1" min="6" max="6"/>
    <col width="8" customWidth="1" min="7" max="7"/>
    <col width="13" customWidth="1" min="8" max="8"/>
    <col width="14" customWidth="1" min="9" max="9"/>
    <col width="11" customWidth="1" min="10" max="10"/>
    <col width="15" customWidth="1" min="11" max="11"/>
    <col width="14" customWidth="1" min="12" max="12"/>
    <col width="10" customWidth="1" min="13" max="13"/>
    <col width="7" customWidth="1" min="14" max="14"/>
  </cols>
  <sheetData>
    <row r="1" ht="32" customHeight="1">
      <c r="A1" s="8" t="inlineStr">
        <is>
          <t>Fecha</t>
        </is>
      </c>
      <c r="B1" s="8" t="inlineStr">
        <is>
          <t>Proveedor</t>
        </is>
      </c>
      <c r="C1" s="8" t="inlineStr">
        <is>
          <t>NIF proveedor</t>
        </is>
      </c>
      <c r="D1" s="8" t="inlineStr">
        <is>
          <t>Concepto</t>
        </is>
      </c>
      <c r="E1" s="8" t="inlineStr">
        <is>
          <t>Categoría</t>
        </is>
      </c>
      <c r="F1" s="8" t="inlineStr">
        <is>
          <t>Base imponible</t>
        </is>
      </c>
      <c r="G1" s="8" t="inlineStr">
        <is>
          <t>% IVA</t>
        </is>
      </c>
      <c r="H1" s="8" t="inlineStr">
        <is>
          <t>Cuota IVA</t>
        </is>
      </c>
      <c r="I1" s="8" t="inlineStr">
        <is>
          <t>Total pagado</t>
        </is>
      </c>
      <c r="J1" s="8" t="inlineStr">
        <is>
          <t>% deducible</t>
        </is>
      </c>
      <c r="K1" s="8" t="inlineStr">
        <is>
          <t>Base deducible</t>
        </is>
      </c>
      <c r="L1" s="8" t="inlineStr">
        <is>
          <t>IVA deducible</t>
        </is>
      </c>
      <c r="M1" s="8" t="inlineStr">
        <is>
          <t>Trimestre</t>
        </is>
      </c>
      <c r="N1" s="8" t="inlineStr">
        <is>
          <t>Mes</t>
        </is>
      </c>
    </row>
    <row r="2">
      <c r="A2" s="9">
        <f>DATE(Config!$B$8,1,20)</f>
        <v/>
      </c>
      <c r="B2" s="5" t="inlineStr">
        <is>
          <t>Proveedor Ejemplo</t>
        </is>
      </c>
      <c r="C2" s="5" t="n"/>
      <c r="D2" s="5" t="inlineStr">
        <is>
          <t>Suscripción software (ejemplo, bórrame)</t>
        </is>
      </c>
      <c r="E2" s="5" t="inlineStr">
        <is>
          <t>Software y suscripciones</t>
        </is>
      </c>
      <c r="F2" s="10" t="n">
        <v>50</v>
      </c>
      <c r="G2" s="6" t="n">
        <v>0.21</v>
      </c>
      <c r="H2" s="11">
        <f>IF(F2="","",ROUND(F2*N(G2),2))</f>
        <v/>
      </c>
      <c r="I2" s="11">
        <f>IF(F2="","",F2+H2)</f>
        <v/>
      </c>
      <c r="J2" s="6" t="n">
        <v>1</v>
      </c>
      <c r="K2" s="11">
        <f>IF(F2="","",ROUND(F2*IF(J2="",1,J2),2))</f>
        <v/>
      </c>
      <c r="L2" s="11">
        <f>IF(F2="","",ROUND(H2*IF(J2="",1,J2),2))</f>
        <v/>
      </c>
      <c r="M2" s="12">
        <f>IF(A2="","",ROUNDUP(MONTH(A2)/3,0))</f>
        <v/>
      </c>
      <c r="N2" s="12">
        <f>IF(A2="","",MONTH(A2))</f>
        <v/>
      </c>
    </row>
    <row r="3">
      <c r="A3" s="9">
        <f>DATE(Config!$B$8,1,31)</f>
        <v/>
      </c>
      <c r="B3" s="5" t="inlineStr">
        <is>
          <t>Seguridad Social</t>
        </is>
      </c>
      <c r="C3" s="5" t="n"/>
      <c r="D3" s="5" t="inlineStr">
        <is>
          <t>Cuota autónomo (ejemplo, bórrame)</t>
        </is>
      </c>
      <c r="E3" s="5" t="inlineStr">
        <is>
          <t>Cuota de autónomo (RETA)</t>
        </is>
      </c>
      <c r="F3" s="10" t="n">
        <v>80</v>
      </c>
      <c r="G3" s="6" t="n">
        <v>0</v>
      </c>
      <c r="H3" s="11">
        <f>IF(F3="","",ROUND(F3*N(G3),2))</f>
        <v/>
      </c>
      <c r="I3" s="11">
        <f>IF(F3="","",F3+H3)</f>
        <v/>
      </c>
      <c r="J3" s="6" t="n">
        <v>1</v>
      </c>
      <c r="K3" s="11">
        <f>IF(F3="","",ROUND(F3*IF(J3="",1,J3),2))</f>
        <v/>
      </c>
      <c r="L3" s="11">
        <f>IF(F3="","",ROUND(H3*IF(J3="",1,J3),2))</f>
        <v/>
      </c>
      <c r="M3" s="12">
        <f>IF(A3="","",ROUNDUP(MONTH(A3)/3,0))</f>
        <v/>
      </c>
      <c r="N3" s="12">
        <f>IF(A3="","",MONTH(A3))</f>
        <v/>
      </c>
    </row>
    <row r="4">
      <c r="A4" s="9" t="n"/>
      <c r="B4" s="5" t="n"/>
      <c r="C4" s="5" t="n"/>
      <c r="D4" s="5" t="n"/>
      <c r="E4" s="5" t="n"/>
      <c r="F4" s="10" t="n"/>
      <c r="G4" s="6" t="n"/>
      <c r="H4" s="11">
        <f>IF(F4="","",ROUND(F4*N(G4),2))</f>
        <v/>
      </c>
      <c r="I4" s="11">
        <f>IF(F4="","",F4+H4)</f>
        <v/>
      </c>
      <c r="J4" s="6" t="n"/>
      <c r="K4" s="11">
        <f>IF(F4="","",ROUND(F4*IF(J4="",1,J4),2))</f>
        <v/>
      </c>
      <c r="L4" s="11">
        <f>IF(F4="","",ROUND(H4*IF(J4="",1,J4),2))</f>
        <v/>
      </c>
      <c r="M4" s="12">
        <f>IF(A4="","",ROUNDUP(MONTH(A4)/3,0))</f>
        <v/>
      </c>
      <c r="N4" s="12">
        <f>IF(A4="","",MONTH(A4))</f>
        <v/>
      </c>
    </row>
    <row r="5">
      <c r="A5" s="9" t="n"/>
      <c r="B5" s="5" t="n"/>
      <c r="C5" s="5" t="n"/>
      <c r="D5" s="5" t="n"/>
      <c r="E5" s="5" t="n"/>
      <c r="F5" s="10" t="n"/>
      <c r="G5" s="6" t="n"/>
      <c r="H5" s="11">
        <f>IF(F5="","",ROUND(F5*N(G5),2))</f>
        <v/>
      </c>
      <c r="I5" s="11">
        <f>IF(F5="","",F5+H5)</f>
        <v/>
      </c>
      <c r="J5" s="6" t="n"/>
      <c r="K5" s="11">
        <f>IF(F5="","",ROUND(F5*IF(J5="",1,J5),2))</f>
        <v/>
      </c>
      <c r="L5" s="11">
        <f>IF(F5="","",ROUND(H5*IF(J5="",1,J5),2))</f>
        <v/>
      </c>
      <c r="M5" s="12">
        <f>IF(A5="","",ROUNDUP(MONTH(A5)/3,0))</f>
        <v/>
      </c>
      <c r="N5" s="12">
        <f>IF(A5="","",MONTH(A5))</f>
        <v/>
      </c>
    </row>
    <row r="6">
      <c r="A6" s="9" t="n"/>
      <c r="B6" s="5" t="n"/>
      <c r="C6" s="5" t="n"/>
      <c r="D6" s="5" t="n"/>
      <c r="E6" s="5" t="n"/>
      <c r="F6" s="10" t="n"/>
      <c r="G6" s="6" t="n"/>
      <c r="H6" s="11">
        <f>IF(F6="","",ROUND(F6*N(G6),2))</f>
        <v/>
      </c>
      <c r="I6" s="11">
        <f>IF(F6="","",F6+H6)</f>
        <v/>
      </c>
      <c r="J6" s="6" t="n"/>
      <c r="K6" s="11">
        <f>IF(F6="","",ROUND(F6*IF(J6="",1,J6),2))</f>
        <v/>
      </c>
      <c r="L6" s="11">
        <f>IF(F6="","",ROUND(H6*IF(J6="",1,J6),2))</f>
        <v/>
      </c>
      <c r="M6" s="12">
        <f>IF(A6="","",ROUNDUP(MONTH(A6)/3,0))</f>
        <v/>
      </c>
      <c r="N6" s="12">
        <f>IF(A6="","",MONTH(A6))</f>
        <v/>
      </c>
    </row>
    <row r="7">
      <c r="A7" s="9" t="n"/>
      <c r="B7" s="5" t="n"/>
      <c r="C7" s="5" t="n"/>
      <c r="D7" s="5" t="n"/>
      <c r="E7" s="5" t="n"/>
      <c r="F7" s="10" t="n"/>
      <c r="G7" s="6" t="n"/>
      <c r="H7" s="11">
        <f>IF(F7="","",ROUND(F7*N(G7),2))</f>
        <v/>
      </c>
      <c r="I7" s="11">
        <f>IF(F7="","",F7+H7)</f>
        <v/>
      </c>
      <c r="J7" s="6" t="n"/>
      <c r="K7" s="11">
        <f>IF(F7="","",ROUND(F7*IF(J7="",1,J7),2))</f>
        <v/>
      </c>
      <c r="L7" s="11">
        <f>IF(F7="","",ROUND(H7*IF(J7="",1,J7),2))</f>
        <v/>
      </c>
      <c r="M7" s="12">
        <f>IF(A7="","",ROUNDUP(MONTH(A7)/3,0))</f>
        <v/>
      </c>
      <c r="N7" s="12">
        <f>IF(A7="","",MONTH(A7))</f>
        <v/>
      </c>
    </row>
    <row r="8">
      <c r="A8" s="9" t="n"/>
      <c r="B8" s="5" t="n"/>
      <c r="C8" s="5" t="n"/>
      <c r="D8" s="5" t="n"/>
      <c r="E8" s="5" t="n"/>
      <c r="F8" s="10" t="n"/>
      <c r="G8" s="6" t="n"/>
      <c r="H8" s="11">
        <f>IF(F8="","",ROUND(F8*N(G8),2))</f>
        <v/>
      </c>
      <c r="I8" s="11">
        <f>IF(F8="","",F8+H8)</f>
        <v/>
      </c>
      <c r="J8" s="6" t="n"/>
      <c r="K8" s="11">
        <f>IF(F8="","",ROUND(F8*IF(J8="",1,J8),2))</f>
        <v/>
      </c>
      <c r="L8" s="11">
        <f>IF(F8="","",ROUND(H8*IF(J8="",1,J8),2))</f>
        <v/>
      </c>
      <c r="M8" s="12">
        <f>IF(A8="","",ROUNDUP(MONTH(A8)/3,0))</f>
        <v/>
      </c>
      <c r="N8" s="12">
        <f>IF(A8="","",MONTH(A8))</f>
        <v/>
      </c>
    </row>
    <row r="9">
      <c r="A9" s="9" t="n"/>
      <c r="B9" s="5" t="n"/>
      <c r="C9" s="5" t="n"/>
      <c r="D9" s="5" t="n"/>
      <c r="E9" s="5" t="n"/>
      <c r="F9" s="10" t="n"/>
      <c r="G9" s="6" t="n"/>
      <c r="H9" s="11">
        <f>IF(F9="","",ROUND(F9*N(G9),2))</f>
        <v/>
      </c>
      <c r="I9" s="11">
        <f>IF(F9="","",F9+H9)</f>
        <v/>
      </c>
      <c r="J9" s="6" t="n"/>
      <c r="K9" s="11">
        <f>IF(F9="","",ROUND(F9*IF(J9="",1,J9),2))</f>
        <v/>
      </c>
      <c r="L9" s="11">
        <f>IF(F9="","",ROUND(H9*IF(J9="",1,J9),2))</f>
        <v/>
      </c>
      <c r="M9" s="12">
        <f>IF(A9="","",ROUNDUP(MONTH(A9)/3,0))</f>
        <v/>
      </c>
      <c r="N9" s="12">
        <f>IF(A9="","",MONTH(A9))</f>
        <v/>
      </c>
    </row>
    <row r="10">
      <c r="A10" s="9" t="n"/>
      <c r="B10" s="5" t="n"/>
      <c r="C10" s="5" t="n"/>
      <c r="D10" s="5" t="n"/>
      <c r="E10" s="5" t="n"/>
      <c r="F10" s="10" t="n"/>
      <c r="G10" s="6" t="n"/>
      <c r="H10" s="11">
        <f>IF(F10="","",ROUND(F10*N(G10),2))</f>
        <v/>
      </c>
      <c r="I10" s="11">
        <f>IF(F10="","",F10+H10)</f>
        <v/>
      </c>
      <c r="J10" s="6" t="n"/>
      <c r="K10" s="11">
        <f>IF(F10="","",ROUND(F10*IF(J10="",1,J10),2))</f>
        <v/>
      </c>
      <c r="L10" s="11">
        <f>IF(F10="","",ROUND(H10*IF(J10="",1,J10),2))</f>
        <v/>
      </c>
      <c r="M10" s="12">
        <f>IF(A10="","",ROUNDUP(MONTH(A10)/3,0))</f>
        <v/>
      </c>
      <c r="N10" s="12">
        <f>IF(A10="","",MONTH(A10))</f>
        <v/>
      </c>
    </row>
    <row r="11">
      <c r="A11" s="9" t="n"/>
      <c r="B11" s="5" t="n"/>
      <c r="C11" s="5" t="n"/>
      <c r="D11" s="5" t="n"/>
      <c r="E11" s="5" t="n"/>
      <c r="F11" s="10" t="n"/>
      <c r="G11" s="6" t="n"/>
      <c r="H11" s="11">
        <f>IF(F11="","",ROUND(F11*N(G11),2))</f>
        <v/>
      </c>
      <c r="I11" s="11">
        <f>IF(F11="","",F11+H11)</f>
        <v/>
      </c>
      <c r="J11" s="6" t="n"/>
      <c r="K11" s="11">
        <f>IF(F11="","",ROUND(F11*IF(J11="",1,J11),2))</f>
        <v/>
      </c>
      <c r="L11" s="11">
        <f>IF(F11="","",ROUND(H11*IF(J11="",1,J11),2))</f>
        <v/>
      </c>
      <c r="M11" s="12">
        <f>IF(A11="","",ROUNDUP(MONTH(A11)/3,0))</f>
        <v/>
      </c>
      <c r="N11" s="12">
        <f>IF(A11="","",MONTH(A11))</f>
        <v/>
      </c>
    </row>
    <row r="12">
      <c r="A12" s="9" t="n"/>
      <c r="B12" s="5" t="n"/>
      <c r="C12" s="5" t="n"/>
      <c r="D12" s="5" t="n"/>
      <c r="E12" s="5" t="n"/>
      <c r="F12" s="10" t="n"/>
      <c r="G12" s="6" t="n"/>
      <c r="H12" s="11">
        <f>IF(F12="","",ROUND(F12*N(G12),2))</f>
        <v/>
      </c>
      <c r="I12" s="11">
        <f>IF(F12="","",F12+H12)</f>
        <v/>
      </c>
      <c r="J12" s="6" t="n"/>
      <c r="K12" s="11">
        <f>IF(F12="","",ROUND(F12*IF(J12="",1,J12),2))</f>
        <v/>
      </c>
      <c r="L12" s="11">
        <f>IF(F12="","",ROUND(H12*IF(J12="",1,J12),2))</f>
        <v/>
      </c>
      <c r="M12" s="12">
        <f>IF(A12="","",ROUNDUP(MONTH(A12)/3,0))</f>
        <v/>
      </c>
      <c r="N12" s="12">
        <f>IF(A12="","",MONTH(A12))</f>
        <v/>
      </c>
    </row>
    <row r="13">
      <c r="A13" s="9" t="n"/>
      <c r="B13" s="5" t="n"/>
      <c r="C13" s="5" t="n"/>
      <c r="D13" s="5" t="n"/>
      <c r="E13" s="5" t="n"/>
      <c r="F13" s="10" t="n"/>
      <c r="G13" s="6" t="n"/>
      <c r="H13" s="11">
        <f>IF(F13="","",ROUND(F13*N(G13),2))</f>
        <v/>
      </c>
      <c r="I13" s="11">
        <f>IF(F13="","",F13+H13)</f>
        <v/>
      </c>
      <c r="J13" s="6" t="n"/>
      <c r="K13" s="11">
        <f>IF(F13="","",ROUND(F13*IF(J13="",1,J13),2))</f>
        <v/>
      </c>
      <c r="L13" s="11">
        <f>IF(F13="","",ROUND(H13*IF(J13="",1,J13),2))</f>
        <v/>
      </c>
      <c r="M13" s="12">
        <f>IF(A13="","",ROUNDUP(MONTH(A13)/3,0))</f>
        <v/>
      </c>
      <c r="N13" s="12">
        <f>IF(A13="","",MONTH(A13))</f>
        <v/>
      </c>
    </row>
    <row r="14">
      <c r="A14" s="9" t="n"/>
      <c r="B14" s="5" t="n"/>
      <c r="C14" s="5" t="n"/>
      <c r="D14" s="5" t="n"/>
      <c r="E14" s="5" t="n"/>
      <c r="F14" s="10" t="n"/>
      <c r="G14" s="6" t="n"/>
      <c r="H14" s="11">
        <f>IF(F14="","",ROUND(F14*N(G14),2))</f>
        <v/>
      </c>
      <c r="I14" s="11">
        <f>IF(F14="","",F14+H14)</f>
        <v/>
      </c>
      <c r="J14" s="6" t="n"/>
      <c r="K14" s="11">
        <f>IF(F14="","",ROUND(F14*IF(J14="",1,J14),2))</f>
        <v/>
      </c>
      <c r="L14" s="11">
        <f>IF(F14="","",ROUND(H14*IF(J14="",1,J14),2))</f>
        <v/>
      </c>
      <c r="M14" s="12">
        <f>IF(A14="","",ROUNDUP(MONTH(A14)/3,0))</f>
        <v/>
      </c>
      <c r="N14" s="12">
        <f>IF(A14="","",MONTH(A14))</f>
        <v/>
      </c>
    </row>
    <row r="15">
      <c r="A15" s="9" t="n"/>
      <c r="B15" s="5" t="n"/>
      <c r="C15" s="5" t="n"/>
      <c r="D15" s="5" t="n"/>
      <c r="E15" s="5" t="n"/>
      <c r="F15" s="10" t="n"/>
      <c r="G15" s="6" t="n"/>
      <c r="H15" s="11">
        <f>IF(F15="","",ROUND(F15*N(G15),2))</f>
        <v/>
      </c>
      <c r="I15" s="11">
        <f>IF(F15="","",F15+H15)</f>
        <v/>
      </c>
      <c r="J15" s="6" t="n"/>
      <c r="K15" s="11">
        <f>IF(F15="","",ROUND(F15*IF(J15="",1,J15),2))</f>
        <v/>
      </c>
      <c r="L15" s="11">
        <f>IF(F15="","",ROUND(H15*IF(J15="",1,J15),2))</f>
        <v/>
      </c>
      <c r="M15" s="12">
        <f>IF(A15="","",ROUNDUP(MONTH(A15)/3,0))</f>
        <v/>
      </c>
      <c r="N15" s="12">
        <f>IF(A15="","",MONTH(A15))</f>
        <v/>
      </c>
    </row>
    <row r="16">
      <c r="A16" s="9" t="n"/>
      <c r="B16" s="5" t="n"/>
      <c r="C16" s="5" t="n"/>
      <c r="D16" s="5" t="n"/>
      <c r="E16" s="5" t="n"/>
      <c r="F16" s="10" t="n"/>
      <c r="G16" s="6" t="n"/>
      <c r="H16" s="11">
        <f>IF(F16="","",ROUND(F16*N(G16),2))</f>
        <v/>
      </c>
      <c r="I16" s="11">
        <f>IF(F16="","",F16+H16)</f>
        <v/>
      </c>
      <c r="J16" s="6" t="n"/>
      <c r="K16" s="11">
        <f>IF(F16="","",ROUND(F16*IF(J16="",1,J16),2))</f>
        <v/>
      </c>
      <c r="L16" s="11">
        <f>IF(F16="","",ROUND(H16*IF(J16="",1,J16),2))</f>
        <v/>
      </c>
      <c r="M16" s="12">
        <f>IF(A16="","",ROUNDUP(MONTH(A16)/3,0))</f>
        <v/>
      </c>
      <c r="N16" s="12">
        <f>IF(A16="","",MONTH(A16))</f>
        <v/>
      </c>
    </row>
    <row r="17">
      <c r="A17" s="9" t="n"/>
      <c r="B17" s="5" t="n"/>
      <c r="C17" s="5" t="n"/>
      <c r="D17" s="5" t="n"/>
      <c r="E17" s="5" t="n"/>
      <c r="F17" s="10" t="n"/>
      <c r="G17" s="6" t="n"/>
      <c r="H17" s="11">
        <f>IF(F17="","",ROUND(F17*N(G17),2))</f>
        <v/>
      </c>
      <c r="I17" s="11">
        <f>IF(F17="","",F17+H17)</f>
        <v/>
      </c>
      <c r="J17" s="6" t="n"/>
      <c r="K17" s="11">
        <f>IF(F17="","",ROUND(F17*IF(J17="",1,J17),2))</f>
        <v/>
      </c>
      <c r="L17" s="11">
        <f>IF(F17="","",ROUND(H17*IF(J17="",1,J17),2))</f>
        <v/>
      </c>
      <c r="M17" s="12">
        <f>IF(A17="","",ROUNDUP(MONTH(A17)/3,0))</f>
        <v/>
      </c>
      <c r="N17" s="12">
        <f>IF(A17="","",MONTH(A17))</f>
        <v/>
      </c>
    </row>
    <row r="18">
      <c r="A18" s="9" t="n"/>
      <c r="B18" s="5" t="n"/>
      <c r="C18" s="5" t="n"/>
      <c r="D18" s="5" t="n"/>
      <c r="E18" s="5" t="n"/>
      <c r="F18" s="10" t="n"/>
      <c r="G18" s="6" t="n"/>
      <c r="H18" s="11">
        <f>IF(F18="","",ROUND(F18*N(G18),2))</f>
        <v/>
      </c>
      <c r="I18" s="11">
        <f>IF(F18="","",F18+H18)</f>
        <v/>
      </c>
      <c r="J18" s="6" t="n"/>
      <c r="K18" s="11">
        <f>IF(F18="","",ROUND(F18*IF(J18="",1,J18),2))</f>
        <v/>
      </c>
      <c r="L18" s="11">
        <f>IF(F18="","",ROUND(H18*IF(J18="",1,J18),2))</f>
        <v/>
      </c>
      <c r="M18" s="12">
        <f>IF(A18="","",ROUNDUP(MONTH(A18)/3,0))</f>
        <v/>
      </c>
      <c r="N18" s="12">
        <f>IF(A18="","",MONTH(A18))</f>
        <v/>
      </c>
    </row>
    <row r="19">
      <c r="A19" s="9" t="n"/>
      <c r="B19" s="5" t="n"/>
      <c r="C19" s="5" t="n"/>
      <c r="D19" s="5" t="n"/>
      <c r="E19" s="5" t="n"/>
      <c r="F19" s="10" t="n"/>
      <c r="G19" s="6" t="n"/>
      <c r="H19" s="11">
        <f>IF(F19="","",ROUND(F19*N(G19),2))</f>
        <v/>
      </c>
      <c r="I19" s="11">
        <f>IF(F19="","",F19+H19)</f>
        <v/>
      </c>
      <c r="J19" s="6" t="n"/>
      <c r="K19" s="11">
        <f>IF(F19="","",ROUND(F19*IF(J19="",1,J19),2))</f>
        <v/>
      </c>
      <c r="L19" s="11">
        <f>IF(F19="","",ROUND(H19*IF(J19="",1,J19),2))</f>
        <v/>
      </c>
      <c r="M19" s="12">
        <f>IF(A19="","",ROUNDUP(MONTH(A19)/3,0))</f>
        <v/>
      </c>
      <c r="N19" s="12">
        <f>IF(A19="","",MONTH(A19))</f>
        <v/>
      </c>
    </row>
    <row r="20">
      <c r="A20" s="9" t="n"/>
      <c r="B20" s="5" t="n"/>
      <c r="C20" s="5" t="n"/>
      <c r="D20" s="5" t="n"/>
      <c r="E20" s="5" t="n"/>
      <c r="F20" s="10" t="n"/>
      <c r="G20" s="6" t="n"/>
      <c r="H20" s="11">
        <f>IF(F20="","",ROUND(F20*N(G20),2))</f>
        <v/>
      </c>
      <c r="I20" s="11">
        <f>IF(F20="","",F20+H20)</f>
        <v/>
      </c>
      <c r="J20" s="6" t="n"/>
      <c r="K20" s="11">
        <f>IF(F20="","",ROUND(F20*IF(J20="",1,J20),2))</f>
        <v/>
      </c>
      <c r="L20" s="11">
        <f>IF(F20="","",ROUND(H20*IF(J20="",1,J20),2))</f>
        <v/>
      </c>
      <c r="M20" s="12">
        <f>IF(A20="","",ROUNDUP(MONTH(A20)/3,0))</f>
        <v/>
      </c>
      <c r="N20" s="12">
        <f>IF(A20="","",MONTH(A20))</f>
        <v/>
      </c>
    </row>
    <row r="21">
      <c r="A21" s="9" t="n"/>
      <c r="B21" s="5" t="n"/>
      <c r="C21" s="5" t="n"/>
      <c r="D21" s="5" t="n"/>
      <c r="E21" s="5" t="n"/>
      <c r="F21" s="10" t="n"/>
      <c r="G21" s="6" t="n"/>
      <c r="H21" s="11">
        <f>IF(F21="","",ROUND(F21*N(G21),2))</f>
        <v/>
      </c>
      <c r="I21" s="11">
        <f>IF(F21="","",F21+H21)</f>
        <v/>
      </c>
      <c r="J21" s="6" t="n"/>
      <c r="K21" s="11">
        <f>IF(F21="","",ROUND(F21*IF(J21="",1,J21),2))</f>
        <v/>
      </c>
      <c r="L21" s="11">
        <f>IF(F21="","",ROUND(H21*IF(J21="",1,J21),2))</f>
        <v/>
      </c>
      <c r="M21" s="12">
        <f>IF(A21="","",ROUNDUP(MONTH(A21)/3,0))</f>
        <v/>
      </c>
      <c r="N21" s="12">
        <f>IF(A21="","",MONTH(A21))</f>
        <v/>
      </c>
    </row>
    <row r="22">
      <c r="A22" s="9" t="n"/>
      <c r="B22" s="5" t="n"/>
      <c r="C22" s="5" t="n"/>
      <c r="D22" s="5" t="n"/>
      <c r="E22" s="5" t="n"/>
      <c r="F22" s="10" t="n"/>
      <c r="G22" s="6" t="n"/>
      <c r="H22" s="11">
        <f>IF(F22="","",ROUND(F22*N(G22),2))</f>
        <v/>
      </c>
      <c r="I22" s="11">
        <f>IF(F22="","",F22+H22)</f>
        <v/>
      </c>
      <c r="J22" s="6" t="n"/>
      <c r="K22" s="11">
        <f>IF(F22="","",ROUND(F22*IF(J22="",1,J22),2))</f>
        <v/>
      </c>
      <c r="L22" s="11">
        <f>IF(F22="","",ROUND(H22*IF(J22="",1,J22),2))</f>
        <v/>
      </c>
      <c r="M22" s="12">
        <f>IF(A22="","",ROUNDUP(MONTH(A22)/3,0))</f>
        <v/>
      </c>
      <c r="N22" s="12">
        <f>IF(A22="","",MONTH(A22))</f>
        <v/>
      </c>
    </row>
    <row r="23">
      <c r="A23" s="9" t="n"/>
      <c r="B23" s="5" t="n"/>
      <c r="C23" s="5" t="n"/>
      <c r="D23" s="5" t="n"/>
      <c r="E23" s="5" t="n"/>
      <c r="F23" s="10" t="n"/>
      <c r="G23" s="6" t="n"/>
      <c r="H23" s="11">
        <f>IF(F23="","",ROUND(F23*N(G23),2))</f>
        <v/>
      </c>
      <c r="I23" s="11">
        <f>IF(F23="","",F23+H23)</f>
        <v/>
      </c>
      <c r="J23" s="6" t="n"/>
      <c r="K23" s="11">
        <f>IF(F23="","",ROUND(F23*IF(J23="",1,J23),2))</f>
        <v/>
      </c>
      <c r="L23" s="11">
        <f>IF(F23="","",ROUND(H23*IF(J23="",1,J23),2))</f>
        <v/>
      </c>
      <c r="M23" s="12">
        <f>IF(A23="","",ROUNDUP(MONTH(A23)/3,0))</f>
        <v/>
      </c>
      <c r="N23" s="12">
        <f>IF(A23="","",MONTH(A23))</f>
        <v/>
      </c>
    </row>
    <row r="24">
      <c r="A24" s="9" t="n"/>
      <c r="B24" s="5" t="n"/>
      <c r="C24" s="5" t="n"/>
      <c r="D24" s="5" t="n"/>
      <c r="E24" s="5" t="n"/>
      <c r="F24" s="10" t="n"/>
      <c r="G24" s="6" t="n"/>
      <c r="H24" s="11">
        <f>IF(F24="","",ROUND(F24*N(G24),2))</f>
        <v/>
      </c>
      <c r="I24" s="11">
        <f>IF(F24="","",F24+H24)</f>
        <v/>
      </c>
      <c r="J24" s="6" t="n"/>
      <c r="K24" s="11">
        <f>IF(F24="","",ROUND(F24*IF(J24="",1,J24),2))</f>
        <v/>
      </c>
      <c r="L24" s="11">
        <f>IF(F24="","",ROUND(H24*IF(J24="",1,J24),2))</f>
        <v/>
      </c>
      <c r="M24" s="12">
        <f>IF(A24="","",ROUNDUP(MONTH(A24)/3,0))</f>
        <v/>
      </c>
      <c r="N24" s="12">
        <f>IF(A24="","",MONTH(A24))</f>
        <v/>
      </c>
    </row>
    <row r="25">
      <c r="A25" s="9" t="n"/>
      <c r="B25" s="5" t="n"/>
      <c r="C25" s="5" t="n"/>
      <c r="D25" s="5" t="n"/>
      <c r="E25" s="5" t="n"/>
      <c r="F25" s="10" t="n"/>
      <c r="G25" s="6" t="n"/>
      <c r="H25" s="11">
        <f>IF(F25="","",ROUND(F25*N(G25),2))</f>
        <v/>
      </c>
      <c r="I25" s="11">
        <f>IF(F25="","",F25+H25)</f>
        <v/>
      </c>
      <c r="J25" s="6" t="n"/>
      <c r="K25" s="11">
        <f>IF(F25="","",ROUND(F25*IF(J25="",1,J25),2))</f>
        <v/>
      </c>
      <c r="L25" s="11">
        <f>IF(F25="","",ROUND(H25*IF(J25="",1,J25),2))</f>
        <v/>
      </c>
      <c r="M25" s="12">
        <f>IF(A25="","",ROUNDUP(MONTH(A25)/3,0))</f>
        <v/>
      </c>
      <c r="N25" s="12">
        <f>IF(A25="","",MONTH(A25))</f>
        <v/>
      </c>
    </row>
    <row r="26">
      <c r="A26" s="9" t="n"/>
      <c r="B26" s="5" t="n"/>
      <c r="C26" s="5" t="n"/>
      <c r="D26" s="5" t="n"/>
      <c r="E26" s="5" t="n"/>
      <c r="F26" s="10" t="n"/>
      <c r="G26" s="6" t="n"/>
      <c r="H26" s="11">
        <f>IF(F26="","",ROUND(F26*N(G26),2))</f>
        <v/>
      </c>
      <c r="I26" s="11">
        <f>IF(F26="","",F26+H26)</f>
        <v/>
      </c>
      <c r="J26" s="6" t="n"/>
      <c r="K26" s="11">
        <f>IF(F26="","",ROUND(F26*IF(J26="",1,J26),2))</f>
        <v/>
      </c>
      <c r="L26" s="11">
        <f>IF(F26="","",ROUND(H26*IF(J26="",1,J26),2))</f>
        <v/>
      </c>
      <c r="M26" s="12">
        <f>IF(A26="","",ROUNDUP(MONTH(A26)/3,0))</f>
        <v/>
      </c>
      <c r="N26" s="12">
        <f>IF(A26="","",MONTH(A26))</f>
        <v/>
      </c>
    </row>
    <row r="27">
      <c r="A27" s="9" t="n"/>
      <c r="B27" s="5" t="n"/>
      <c r="C27" s="5" t="n"/>
      <c r="D27" s="5" t="n"/>
      <c r="E27" s="5" t="n"/>
      <c r="F27" s="10" t="n"/>
      <c r="G27" s="6" t="n"/>
      <c r="H27" s="11">
        <f>IF(F27="","",ROUND(F27*N(G27),2))</f>
        <v/>
      </c>
      <c r="I27" s="11">
        <f>IF(F27="","",F27+H27)</f>
        <v/>
      </c>
      <c r="J27" s="6" t="n"/>
      <c r="K27" s="11">
        <f>IF(F27="","",ROUND(F27*IF(J27="",1,J27),2))</f>
        <v/>
      </c>
      <c r="L27" s="11">
        <f>IF(F27="","",ROUND(H27*IF(J27="",1,J27),2))</f>
        <v/>
      </c>
      <c r="M27" s="12">
        <f>IF(A27="","",ROUNDUP(MONTH(A27)/3,0))</f>
        <v/>
      </c>
      <c r="N27" s="12">
        <f>IF(A27="","",MONTH(A27))</f>
        <v/>
      </c>
    </row>
    <row r="28">
      <c r="A28" s="9" t="n"/>
      <c r="B28" s="5" t="n"/>
      <c r="C28" s="5" t="n"/>
      <c r="D28" s="5" t="n"/>
      <c r="E28" s="5" t="n"/>
      <c r="F28" s="10" t="n"/>
      <c r="G28" s="6" t="n"/>
      <c r="H28" s="11">
        <f>IF(F28="","",ROUND(F28*N(G28),2))</f>
        <v/>
      </c>
      <c r="I28" s="11">
        <f>IF(F28="","",F28+H28)</f>
        <v/>
      </c>
      <c r="J28" s="6" t="n"/>
      <c r="K28" s="11">
        <f>IF(F28="","",ROUND(F28*IF(J28="",1,J28),2))</f>
        <v/>
      </c>
      <c r="L28" s="11">
        <f>IF(F28="","",ROUND(H28*IF(J28="",1,J28),2))</f>
        <v/>
      </c>
      <c r="M28" s="12">
        <f>IF(A28="","",ROUNDUP(MONTH(A28)/3,0))</f>
        <v/>
      </c>
      <c r="N28" s="12">
        <f>IF(A28="","",MONTH(A28))</f>
        <v/>
      </c>
    </row>
    <row r="29">
      <c r="A29" s="9" t="n"/>
      <c r="B29" s="5" t="n"/>
      <c r="C29" s="5" t="n"/>
      <c r="D29" s="5" t="n"/>
      <c r="E29" s="5" t="n"/>
      <c r="F29" s="10" t="n"/>
      <c r="G29" s="6" t="n"/>
      <c r="H29" s="11">
        <f>IF(F29="","",ROUND(F29*N(G29),2))</f>
        <v/>
      </c>
      <c r="I29" s="11">
        <f>IF(F29="","",F29+H29)</f>
        <v/>
      </c>
      <c r="J29" s="6" t="n"/>
      <c r="K29" s="11">
        <f>IF(F29="","",ROUND(F29*IF(J29="",1,J29),2))</f>
        <v/>
      </c>
      <c r="L29" s="11">
        <f>IF(F29="","",ROUND(H29*IF(J29="",1,J29),2))</f>
        <v/>
      </c>
      <c r="M29" s="12">
        <f>IF(A29="","",ROUNDUP(MONTH(A29)/3,0))</f>
        <v/>
      </c>
      <c r="N29" s="12">
        <f>IF(A29="","",MONTH(A29))</f>
        <v/>
      </c>
    </row>
    <row r="30">
      <c r="A30" s="9" t="n"/>
      <c r="B30" s="5" t="n"/>
      <c r="C30" s="5" t="n"/>
      <c r="D30" s="5" t="n"/>
      <c r="E30" s="5" t="n"/>
      <c r="F30" s="10" t="n"/>
      <c r="G30" s="6" t="n"/>
      <c r="H30" s="11">
        <f>IF(F30="","",ROUND(F30*N(G30),2))</f>
        <v/>
      </c>
      <c r="I30" s="11">
        <f>IF(F30="","",F30+H30)</f>
        <v/>
      </c>
      <c r="J30" s="6" t="n"/>
      <c r="K30" s="11">
        <f>IF(F30="","",ROUND(F30*IF(J30="",1,J30),2))</f>
        <v/>
      </c>
      <c r="L30" s="11">
        <f>IF(F30="","",ROUND(H30*IF(J30="",1,J30),2))</f>
        <v/>
      </c>
      <c r="M30" s="12">
        <f>IF(A30="","",ROUNDUP(MONTH(A30)/3,0))</f>
        <v/>
      </c>
      <c r="N30" s="12">
        <f>IF(A30="","",MONTH(A30))</f>
        <v/>
      </c>
    </row>
    <row r="31">
      <c r="A31" s="9" t="n"/>
      <c r="B31" s="5" t="n"/>
      <c r="C31" s="5" t="n"/>
      <c r="D31" s="5" t="n"/>
      <c r="E31" s="5" t="n"/>
      <c r="F31" s="10" t="n"/>
      <c r="G31" s="6" t="n"/>
      <c r="H31" s="11">
        <f>IF(F31="","",ROUND(F31*N(G31),2))</f>
        <v/>
      </c>
      <c r="I31" s="11">
        <f>IF(F31="","",F31+H31)</f>
        <v/>
      </c>
      <c r="J31" s="6" t="n"/>
      <c r="K31" s="11">
        <f>IF(F31="","",ROUND(F31*IF(J31="",1,J31),2))</f>
        <v/>
      </c>
      <c r="L31" s="11">
        <f>IF(F31="","",ROUND(H31*IF(J31="",1,J31),2))</f>
        <v/>
      </c>
      <c r="M31" s="12">
        <f>IF(A31="","",ROUNDUP(MONTH(A31)/3,0))</f>
        <v/>
      </c>
      <c r="N31" s="12">
        <f>IF(A31="","",MONTH(A31))</f>
        <v/>
      </c>
    </row>
    <row r="32">
      <c r="A32" s="9" t="n"/>
      <c r="B32" s="5" t="n"/>
      <c r="C32" s="5" t="n"/>
      <c r="D32" s="5" t="n"/>
      <c r="E32" s="5" t="n"/>
      <c r="F32" s="10" t="n"/>
      <c r="G32" s="6" t="n"/>
      <c r="H32" s="11">
        <f>IF(F32="","",ROUND(F32*N(G32),2))</f>
        <v/>
      </c>
      <c r="I32" s="11">
        <f>IF(F32="","",F32+H32)</f>
        <v/>
      </c>
      <c r="J32" s="6" t="n"/>
      <c r="K32" s="11">
        <f>IF(F32="","",ROUND(F32*IF(J32="",1,J32),2))</f>
        <v/>
      </c>
      <c r="L32" s="11">
        <f>IF(F32="","",ROUND(H32*IF(J32="",1,J32),2))</f>
        <v/>
      </c>
      <c r="M32" s="12">
        <f>IF(A32="","",ROUNDUP(MONTH(A32)/3,0))</f>
        <v/>
      </c>
      <c r="N32" s="12">
        <f>IF(A32="","",MONTH(A32))</f>
        <v/>
      </c>
    </row>
    <row r="33">
      <c r="A33" s="9" t="n"/>
      <c r="B33" s="5" t="n"/>
      <c r="C33" s="5" t="n"/>
      <c r="D33" s="5" t="n"/>
      <c r="E33" s="5" t="n"/>
      <c r="F33" s="10" t="n"/>
      <c r="G33" s="6" t="n"/>
      <c r="H33" s="11">
        <f>IF(F33="","",ROUND(F33*N(G33),2))</f>
        <v/>
      </c>
      <c r="I33" s="11">
        <f>IF(F33="","",F33+H33)</f>
        <v/>
      </c>
      <c r="J33" s="6" t="n"/>
      <c r="K33" s="11">
        <f>IF(F33="","",ROUND(F33*IF(J33="",1,J33),2))</f>
        <v/>
      </c>
      <c r="L33" s="11">
        <f>IF(F33="","",ROUND(H33*IF(J33="",1,J33),2))</f>
        <v/>
      </c>
      <c r="M33" s="12">
        <f>IF(A33="","",ROUNDUP(MONTH(A33)/3,0))</f>
        <v/>
      </c>
      <c r="N33" s="12">
        <f>IF(A33="","",MONTH(A33))</f>
        <v/>
      </c>
    </row>
    <row r="34">
      <c r="A34" s="9" t="n"/>
      <c r="B34" s="5" t="n"/>
      <c r="C34" s="5" t="n"/>
      <c r="D34" s="5" t="n"/>
      <c r="E34" s="5" t="n"/>
      <c r="F34" s="10" t="n"/>
      <c r="G34" s="6" t="n"/>
      <c r="H34" s="11">
        <f>IF(F34="","",ROUND(F34*N(G34),2))</f>
        <v/>
      </c>
      <c r="I34" s="11">
        <f>IF(F34="","",F34+H34)</f>
        <v/>
      </c>
      <c r="J34" s="6" t="n"/>
      <c r="K34" s="11">
        <f>IF(F34="","",ROUND(F34*IF(J34="",1,J34),2))</f>
        <v/>
      </c>
      <c r="L34" s="11">
        <f>IF(F34="","",ROUND(H34*IF(J34="",1,J34),2))</f>
        <v/>
      </c>
      <c r="M34" s="12">
        <f>IF(A34="","",ROUNDUP(MONTH(A34)/3,0))</f>
        <v/>
      </c>
      <c r="N34" s="12">
        <f>IF(A34="","",MONTH(A34))</f>
        <v/>
      </c>
    </row>
    <row r="35">
      <c r="A35" s="9" t="n"/>
      <c r="B35" s="5" t="n"/>
      <c r="C35" s="5" t="n"/>
      <c r="D35" s="5" t="n"/>
      <c r="E35" s="5" t="n"/>
      <c r="F35" s="10" t="n"/>
      <c r="G35" s="6" t="n"/>
      <c r="H35" s="11">
        <f>IF(F35="","",ROUND(F35*N(G35),2))</f>
        <v/>
      </c>
      <c r="I35" s="11">
        <f>IF(F35="","",F35+H35)</f>
        <v/>
      </c>
      <c r="J35" s="6" t="n"/>
      <c r="K35" s="11">
        <f>IF(F35="","",ROUND(F35*IF(J35="",1,J35),2))</f>
        <v/>
      </c>
      <c r="L35" s="11">
        <f>IF(F35="","",ROUND(H35*IF(J35="",1,J35),2))</f>
        <v/>
      </c>
      <c r="M35" s="12">
        <f>IF(A35="","",ROUNDUP(MONTH(A35)/3,0))</f>
        <v/>
      </c>
      <c r="N35" s="12">
        <f>IF(A35="","",MONTH(A35))</f>
        <v/>
      </c>
    </row>
    <row r="36">
      <c r="A36" s="9" t="n"/>
      <c r="B36" s="5" t="n"/>
      <c r="C36" s="5" t="n"/>
      <c r="D36" s="5" t="n"/>
      <c r="E36" s="5" t="n"/>
      <c r="F36" s="10" t="n"/>
      <c r="G36" s="6" t="n"/>
      <c r="H36" s="11">
        <f>IF(F36="","",ROUND(F36*N(G36),2))</f>
        <v/>
      </c>
      <c r="I36" s="11">
        <f>IF(F36="","",F36+H36)</f>
        <v/>
      </c>
      <c r="J36" s="6" t="n"/>
      <c r="K36" s="11">
        <f>IF(F36="","",ROUND(F36*IF(J36="",1,J36),2))</f>
        <v/>
      </c>
      <c r="L36" s="11">
        <f>IF(F36="","",ROUND(H36*IF(J36="",1,J36),2))</f>
        <v/>
      </c>
      <c r="M36" s="12">
        <f>IF(A36="","",ROUNDUP(MONTH(A36)/3,0))</f>
        <v/>
      </c>
      <c r="N36" s="12">
        <f>IF(A36="","",MONTH(A36))</f>
        <v/>
      </c>
    </row>
    <row r="37">
      <c r="A37" s="9" t="n"/>
      <c r="B37" s="5" t="n"/>
      <c r="C37" s="5" t="n"/>
      <c r="D37" s="5" t="n"/>
      <c r="E37" s="5" t="n"/>
      <c r="F37" s="10" t="n"/>
      <c r="G37" s="6" t="n"/>
      <c r="H37" s="11">
        <f>IF(F37="","",ROUND(F37*N(G37),2))</f>
        <v/>
      </c>
      <c r="I37" s="11">
        <f>IF(F37="","",F37+H37)</f>
        <v/>
      </c>
      <c r="J37" s="6" t="n"/>
      <c r="K37" s="11">
        <f>IF(F37="","",ROUND(F37*IF(J37="",1,J37),2))</f>
        <v/>
      </c>
      <c r="L37" s="11">
        <f>IF(F37="","",ROUND(H37*IF(J37="",1,J37),2))</f>
        <v/>
      </c>
      <c r="M37" s="12">
        <f>IF(A37="","",ROUNDUP(MONTH(A37)/3,0))</f>
        <v/>
      </c>
      <c r="N37" s="12">
        <f>IF(A37="","",MONTH(A37))</f>
        <v/>
      </c>
    </row>
    <row r="38">
      <c r="A38" s="9" t="n"/>
      <c r="B38" s="5" t="n"/>
      <c r="C38" s="5" t="n"/>
      <c r="D38" s="5" t="n"/>
      <c r="E38" s="5" t="n"/>
      <c r="F38" s="10" t="n"/>
      <c r="G38" s="6" t="n"/>
      <c r="H38" s="11">
        <f>IF(F38="","",ROUND(F38*N(G38),2))</f>
        <v/>
      </c>
      <c r="I38" s="11">
        <f>IF(F38="","",F38+H38)</f>
        <v/>
      </c>
      <c r="J38" s="6" t="n"/>
      <c r="K38" s="11">
        <f>IF(F38="","",ROUND(F38*IF(J38="",1,J38),2))</f>
        <v/>
      </c>
      <c r="L38" s="11">
        <f>IF(F38="","",ROUND(H38*IF(J38="",1,J38),2))</f>
        <v/>
      </c>
      <c r="M38" s="12">
        <f>IF(A38="","",ROUNDUP(MONTH(A38)/3,0))</f>
        <v/>
      </c>
      <c r="N38" s="12">
        <f>IF(A38="","",MONTH(A38))</f>
        <v/>
      </c>
    </row>
    <row r="39">
      <c r="A39" s="9" t="n"/>
      <c r="B39" s="5" t="n"/>
      <c r="C39" s="5" t="n"/>
      <c r="D39" s="5" t="n"/>
      <c r="E39" s="5" t="n"/>
      <c r="F39" s="10" t="n"/>
      <c r="G39" s="6" t="n"/>
      <c r="H39" s="11">
        <f>IF(F39="","",ROUND(F39*N(G39),2))</f>
        <v/>
      </c>
      <c r="I39" s="11">
        <f>IF(F39="","",F39+H39)</f>
        <v/>
      </c>
      <c r="J39" s="6" t="n"/>
      <c r="K39" s="11">
        <f>IF(F39="","",ROUND(F39*IF(J39="",1,J39),2))</f>
        <v/>
      </c>
      <c r="L39" s="11">
        <f>IF(F39="","",ROUND(H39*IF(J39="",1,J39),2))</f>
        <v/>
      </c>
      <c r="M39" s="12">
        <f>IF(A39="","",ROUNDUP(MONTH(A39)/3,0))</f>
        <v/>
      </c>
      <c r="N39" s="12">
        <f>IF(A39="","",MONTH(A39))</f>
        <v/>
      </c>
    </row>
    <row r="40">
      <c r="A40" s="9" t="n"/>
      <c r="B40" s="5" t="n"/>
      <c r="C40" s="5" t="n"/>
      <c r="D40" s="5" t="n"/>
      <c r="E40" s="5" t="n"/>
      <c r="F40" s="10" t="n"/>
      <c r="G40" s="6" t="n"/>
      <c r="H40" s="11">
        <f>IF(F40="","",ROUND(F40*N(G40),2))</f>
        <v/>
      </c>
      <c r="I40" s="11">
        <f>IF(F40="","",F40+H40)</f>
        <v/>
      </c>
      <c r="J40" s="6" t="n"/>
      <c r="K40" s="11">
        <f>IF(F40="","",ROUND(F40*IF(J40="",1,J40),2))</f>
        <v/>
      </c>
      <c r="L40" s="11">
        <f>IF(F40="","",ROUND(H40*IF(J40="",1,J40),2))</f>
        <v/>
      </c>
      <c r="M40" s="12">
        <f>IF(A40="","",ROUNDUP(MONTH(A40)/3,0))</f>
        <v/>
      </c>
      <c r="N40" s="12">
        <f>IF(A40="","",MONTH(A40))</f>
        <v/>
      </c>
    </row>
    <row r="41">
      <c r="A41" s="9" t="n"/>
      <c r="B41" s="5" t="n"/>
      <c r="C41" s="5" t="n"/>
      <c r="D41" s="5" t="n"/>
      <c r="E41" s="5" t="n"/>
      <c r="F41" s="10" t="n"/>
      <c r="G41" s="6" t="n"/>
      <c r="H41" s="11">
        <f>IF(F41="","",ROUND(F41*N(G41),2))</f>
        <v/>
      </c>
      <c r="I41" s="11">
        <f>IF(F41="","",F41+H41)</f>
        <v/>
      </c>
      <c r="J41" s="6" t="n"/>
      <c r="K41" s="11">
        <f>IF(F41="","",ROUND(F41*IF(J41="",1,J41),2))</f>
        <v/>
      </c>
      <c r="L41" s="11">
        <f>IF(F41="","",ROUND(H41*IF(J41="",1,J41),2))</f>
        <v/>
      </c>
      <c r="M41" s="12">
        <f>IF(A41="","",ROUNDUP(MONTH(A41)/3,0))</f>
        <v/>
      </c>
      <c r="N41" s="12">
        <f>IF(A41="","",MONTH(A41))</f>
        <v/>
      </c>
    </row>
    <row r="42">
      <c r="A42" s="9" t="n"/>
      <c r="B42" s="5" t="n"/>
      <c r="C42" s="5" t="n"/>
      <c r="D42" s="5" t="n"/>
      <c r="E42" s="5" t="n"/>
      <c r="F42" s="10" t="n"/>
      <c r="G42" s="6" t="n"/>
      <c r="H42" s="11">
        <f>IF(F42="","",ROUND(F42*N(G42),2))</f>
        <v/>
      </c>
      <c r="I42" s="11">
        <f>IF(F42="","",F42+H42)</f>
        <v/>
      </c>
      <c r="J42" s="6" t="n"/>
      <c r="K42" s="11">
        <f>IF(F42="","",ROUND(F42*IF(J42="",1,J42),2))</f>
        <v/>
      </c>
      <c r="L42" s="11">
        <f>IF(F42="","",ROUND(H42*IF(J42="",1,J42),2))</f>
        <v/>
      </c>
      <c r="M42" s="12">
        <f>IF(A42="","",ROUNDUP(MONTH(A42)/3,0))</f>
        <v/>
      </c>
      <c r="N42" s="12">
        <f>IF(A42="","",MONTH(A42))</f>
        <v/>
      </c>
    </row>
    <row r="43">
      <c r="A43" s="9" t="n"/>
      <c r="B43" s="5" t="n"/>
      <c r="C43" s="5" t="n"/>
      <c r="D43" s="5" t="n"/>
      <c r="E43" s="5" t="n"/>
      <c r="F43" s="10" t="n"/>
      <c r="G43" s="6" t="n"/>
      <c r="H43" s="11">
        <f>IF(F43="","",ROUND(F43*N(G43),2))</f>
        <v/>
      </c>
      <c r="I43" s="11">
        <f>IF(F43="","",F43+H43)</f>
        <v/>
      </c>
      <c r="J43" s="6" t="n"/>
      <c r="K43" s="11">
        <f>IF(F43="","",ROUND(F43*IF(J43="",1,J43),2))</f>
        <v/>
      </c>
      <c r="L43" s="11">
        <f>IF(F43="","",ROUND(H43*IF(J43="",1,J43),2))</f>
        <v/>
      </c>
      <c r="M43" s="12">
        <f>IF(A43="","",ROUNDUP(MONTH(A43)/3,0))</f>
        <v/>
      </c>
      <c r="N43" s="12">
        <f>IF(A43="","",MONTH(A43))</f>
        <v/>
      </c>
    </row>
    <row r="44">
      <c r="A44" s="9" t="n"/>
      <c r="B44" s="5" t="n"/>
      <c r="C44" s="5" t="n"/>
      <c r="D44" s="5" t="n"/>
      <c r="E44" s="5" t="n"/>
      <c r="F44" s="10" t="n"/>
      <c r="G44" s="6" t="n"/>
      <c r="H44" s="11">
        <f>IF(F44="","",ROUND(F44*N(G44),2))</f>
        <v/>
      </c>
      <c r="I44" s="11">
        <f>IF(F44="","",F44+H44)</f>
        <v/>
      </c>
      <c r="J44" s="6" t="n"/>
      <c r="K44" s="11">
        <f>IF(F44="","",ROUND(F44*IF(J44="",1,J44),2))</f>
        <v/>
      </c>
      <c r="L44" s="11">
        <f>IF(F44="","",ROUND(H44*IF(J44="",1,J44),2))</f>
        <v/>
      </c>
      <c r="M44" s="12">
        <f>IF(A44="","",ROUNDUP(MONTH(A44)/3,0))</f>
        <v/>
      </c>
      <c r="N44" s="12">
        <f>IF(A44="","",MONTH(A44))</f>
        <v/>
      </c>
    </row>
    <row r="45">
      <c r="A45" s="9" t="n"/>
      <c r="B45" s="5" t="n"/>
      <c r="C45" s="5" t="n"/>
      <c r="D45" s="5" t="n"/>
      <c r="E45" s="5" t="n"/>
      <c r="F45" s="10" t="n"/>
      <c r="G45" s="6" t="n"/>
      <c r="H45" s="11">
        <f>IF(F45="","",ROUND(F45*N(G45),2))</f>
        <v/>
      </c>
      <c r="I45" s="11">
        <f>IF(F45="","",F45+H45)</f>
        <v/>
      </c>
      <c r="J45" s="6" t="n"/>
      <c r="K45" s="11">
        <f>IF(F45="","",ROUND(F45*IF(J45="",1,J45),2))</f>
        <v/>
      </c>
      <c r="L45" s="11">
        <f>IF(F45="","",ROUND(H45*IF(J45="",1,J45),2))</f>
        <v/>
      </c>
      <c r="M45" s="12">
        <f>IF(A45="","",ROUNDUP(MONTH(A45)/3,0))</f>
        <v/>
      </c>
      <c r="N45" s="12">
        <f>IF(A45="","",MONTH(A45))</f>
        <v/>
      </c>
    </row>
    <row r="46">
      <c r="A46" s="9" t="n"/>
      <c r="B46" s="5" t="n"/>
      <c r="C46" s="5" t="n"/>
      <c r="D46" s="5" t="n"/>
      <c r="E46" s="5" t="n"/>
      <c r="F46" s="10" t="n"/>
      <c r="G46" s="6" t="n"/>
      <c r="H46" s="11">
        <f>IF(F46="","",ROUND(F46*N(G46),2))</f>
        <v/>
      </c>
      <c r="I46" s="11">
        <f>IF(F46="","",F46+H46)</f>
        <v/>
      </c>
      <c r="J46" s="6" t="n"/>
      <c r="K46" s="11">
        <f>IF(F46="","",ROUND(F46*IF(J46="",1,J46),2))</f>
        <v/>
      </c>
      <c r="L46" s="11">
        <f>IF(F46="","",ROUND(H46*IF(J46="",1,J46),2))</f>
        <v/>
      </c>
      <c r="M46" s="12">
        <f>IF(A46="","",ROUNDUP(MONTH(A46)/3,0))</f>
        <v/>
      </c>
      <c r="N46" s="12">
        <f>IF(A46="","",MONTH(A46))</f>
        <v/>
      </c>
    </row>
    <row r="47">
      <c r="A47" s="9" t="n"/>
      <c r="B47" s="5" t="n"/>
      <c r="C47" s="5" t="n"/>
      <c r="D47" s="5" t="n"/>
      <c r="E47" s="5" t="n"/>
      <c r="F47" s="10" t="n"/>
      <c r="G47" s="6" t="n"/>
      <c r="H47" s="11">
        <f>IF(F47="","",ROUND(F47*N(G47),2))</f>
        <v/>
      </c>
      <c r="I47" s="11">
        <f>IF(F47="","",F47+H47)</f>
        <v/>
      </c>
      <c r="J47" s="6" t="n"/>
      <c r="K47" s="11">
        <f>IF(F47="","",ROUND(F47*IF(J47="",1,J47),2))</f>
        <v/>
      </c>
      <c r="L47" s="11">
        <f>IF(F47="","",ROUND(H47*IF(J47="",1,J47),2))</f>
        <v/>
      </c>
      <c r="M47" s="12">
        <f>IF(A47="","",ROUNDUP(MONTH(A47)/3,0))</f>
        <v/>
      </c>
      <c r="N47" s="12">
        <f>IF(A47="","",MONTH(A47))</f>
        <v/>
      </c>
    </row>
    <row r="48">
      <c r="A48" s="9" t="n"/>
      <c r="B48" s="5" t="n"/>
      <c r="C48" s="5" t="n"/>
      <c r="D48" s="5" t="n"/>
      <c r="E48" s="5" t="n"/>
      <c r="F48" s="10" t="n"/>
      <c r="G48" s="6" t="n"/>
      <c r="H48" s="11">
        <f>IF(F48="","",ROUND(F48*N(G48),2))</f>
        <v/>
      </c>
      <c r="I48" s="11">
        <f>IF(F48="","",F48+H48)</f>
        <v/>
      </c>
      <c r="J48" s="6" t="n"/>
      <c r="K48" s="11">
        <f>IF(F48="","",ROUND(F48*IF(J48="",1,J48),2))</f>
        <v/>
      </c>
      <c r="L48" s="11">
        <f>IF(F48="","",ROUND(H48*IF(J48="",1,J48),2))</f>
        <v/>
      </c>
      <c r="M48" s="12">
        <f>IF(A48="","",ROUNDUP(MONTH(A48)/3,0))</f>
        <v/>
      </c>
      <c r="N48" s="12">
        <f>IF(A48="","",MONTH(A48))</f>
        <v/>
      </c>
    </row>
    <row r="49">
      <c r="A49" s="9" t="n"/>
      <c r="B49" s="5" t="n"/>
      <c r="C49" s="5" t="n"/>
      <c r="D49" s="5" t="n"/>
      <c r="E49" s="5" t="n"/>
      <c r="F49" s="10" t="n"/>
      <c r="G49" s="6" t="n"/>
      <c r="H49" s="11">
        <f>IF(F49="","",ROUND(F49*N(G49),2))</f>
        <v/>
      </c>
      <c r="I49" s="11">
        <f>IF(F49="","",F49+H49)</f>
        <v/>
      </c>
      <c r="J49" s="6" t="n"/>
      <c r="K49" s="11">
        <f>IF(F49="","",ROUND(F49*IF(J49="",1,J49),2))</f>
        <v/>
      </c>
      <c r="L49" s="11">
        <f>IF(F49="","",ROUND(H49*IF(J49="",1,J49),2))</f>
        <v/>
      </c>
      <c r="M49" s="12">
        <f>IF(A49="","",ROUNDUP(MONTH(A49)/3,0))</f>
        <v/>
      </c>
      <c r="N49" s="12">
        <f>IF(A49="","",MONTH(A49))</f>
        <v/>
      </c>
    </row>
    <row r="50">
      <c r="A50" s="9" t="n"/>
      <c r="B50" s="5" t="n"/>
      <c r="C50" s="5" t="n"/>
      <c r="D50" s="5" t="n"/>
      <c r="E50" s="5" t="n"/>
      <c r="F50" s="10" t="n"/>
      <c r="G50" s="6" t="n"/>
      <c r="H50" s="11">
        <f>IF(F50="","",ROUND(F50*N(G50),2))</f>
        <v/>
      </c>
      <c r="I50" s="11">
        <f>IF(F50="","",F50+H50)</f>
        <v/>
      </c>
      <c r="J50" s="6" t="n"/>
      <c r="K50" s="11">
        <f>IF(F50="","",ROUND(F50*IF(J50="",1,J50),2))</f>
        <v/>
      </c>
      <c r="L50" s="11">
        <f>IF(F50="","",ROUND(H50*IF(J50="",1,J50),2))</f>
        <v/>
      </c>
      <c r="M50" s="12">
        <f>IF(A50="","",ROUNDUP(MONTH(A50)/3,0))</f>
        <v/>
      </c>
      <c r="N50" s="12">
        <f>IF(A50="","",MONTH(A50))</f>
        <v/>
      </c>
    </row>
    <row r="51">
      <c r="A51" s="9" t="n"/>
      <c r="B51" s="5" t="n"/>
      <c r="C51" s="5" t="n"/>
      <c r="D51" s="5" t="n"/>
      <c r="E51" s="5" t="n"/>
      <c r="F51" s="10" t="n"/>
      <c r="G51" s="6" t="n"/>
      <c r="H51" s="11">
        <f>IF(F51="","",ROUND(F51*N(G51),2))</f>
        <v/>
      </c>
      <c r="I51" s="11">
        <f>IF(F51="","",F51+H51)</f>
        <v/>
      </c>
      <c r="J51" s="6" t="n"/>
      <c r="K51" s="11">
        <f>IF(F51="","",ROUND(F51*IF(J51="",1,J51),2))</f>
        <v/>
      </c>
      <c r="L51" s="11">
        <f>IF(F51="","",ROUND(H51*IF(J51="",1,J51),2))</f>
        <v/>
      </c>
      <c r="M51" s="12">
        <f>IF(A51="","",ROUNDUP(MONTH(A51)/3,0))</f>
        <v/>
      </c>
      <c r="N51" s="12">
        <f>IF(A51="","",MONTH(A51))</f>
        <v/>
      </c>
    </row>
    <row r="52">
      <c r="A52" s="9" t="n"/>
      <c r="B52" s="5" t="n"/>
      <c r="C52" s="5" t="n"/>
      <c r="D52" s="5" t="n"/>
      <c r="E52" s="5" t="n"/>
      <c r="F52" s="10" t="n"/>
      <c r="G52" s="6" t="n"/>
      <c r="H52" s="11">
        <f>IF(F52="","",ROUND(F52*N(G52),2))</f>
        <v/>
      </c>
      <c r="I52" s="11">
        <f>IF(F52="","",F52+H52)</f>
        <v/>
      </c>
      <c r="J52" s="6" t="n"/>
      <c r="K52" s="11">
        <f>IF(F52="","",ROUND(F52*IF(J52="",1,J52),2))</f>
        <v/>
      </c>
      <c r="L52" s="11">
        <f>IF(F52="","",ROUND(H52*IF(J52="",1,J52),2))</f>
        <v/>
      </c>
      <c r="M52" s="12">
        <f>IF(A52="","",ROUNDUP(MONTH(A52)/3,0))</f>
        <v/>
      </c>
      <c r="N52" s="12">
        <f>IF(A52="","",MONTH(A52))</f>
        <v/>
      </c>
    </row>
    <row r="53">
      <c r="A53" s="9" t="n"/>
      <c r="B53" s="5" t="n"/>
      <c r="C53" s="5" t="n"/>
      <c r="D53" s="5" t="n"/>
      <c r="E53" s="5" t="n"/>
      <c r="F53" s="10" t="n"/>
      <c r="G53" s="6" t="n"/>
      <c r="H53" s="11">
        <f>IF(F53="","",ROUND(F53*N(G53),2))</f>
        <v/>
      </c>
      <c r="I53" s="11">
        <f>IF(F53="","",F53+H53)</f>
        <v/>
      </c>
      <c r="J53" s="6" t="n"/>
      <c r="K53" s="11">
        <f>IF(F53="","",ROUND(F53*IF(J53="",1,J53),2))</f>
        <v/>
      </c>
      <c r="L53" s="11">
        <f>IF(F53="","",ROUND(H53*IF(J53="",1,J53),2))</f>
        <v/>
      </c>
      <c r="M53" s="12">
        <f>IF(A53="","",ROUNDUP(MONTH(A53)/3,0))</f>
        <v/>
      </c>
      <c r="N53" s="12">
        <f>IF(A53="","",MONTH(A53))</f>
        <v/>
      </c>
    </row>
    <row r="54">
      <c r="A54" s="9" t="n"/>
      <c r="B54" s="5" t="n"/>
      <c r="C54" s="5" t="n"/>
      <c r="D54" s="5" t="n"/>
      <c r="E54" s="5" t="n"/>
      <c r="F54" s="10" t="n"/>
      <c r="G54" s="6" t="n"/>
      <c r="H54" s="11">
        <f>IF(F54="","",ROUND(F54*N(G54),2))</f>
        <v/>
      </c>
      <c r="I54" s="11">
        <f>IF(F54="","",F54+H54)</f>
        <v/>
      </c>
      <c r="J54" s="6" t="n"/>
      <c r="K54" s="11">
        <f>IF(F54="","",ROUND(F54*IF(J54="",1,J54),2))</f>
        <v/>
      </c>
      <c r="L54" s="11">
        <f>IF(F54="","",ROUND(H54*IF(J54="",1,J54),2))</f>
        <v/>
      </c>
      <c r="M54" s="12">
        <f>IF(A54="","",ROUNDUP(MONTH(A54)/3,0))</f>
        <v/>
      </c>
      <c r="N54" s="12">
        <f>IF(A54="","",MONTH(A54))</f>
        <v/>
      </c>
    </row>
    <row r="55">
      <c r="A55" s="9" t="n"/>
      <c r="B55" s="5" t="n"/>
      <c r="C55" s="5" t="n"/>
      <c r="D55" s="5" t="n"/>
      <c r="E55" s="5" t="n"/>
      <c r="F55" s="10" t="n"/>
      <c r="G55" s="6" t="n"/>
      <c r="H55" s="11">
        <f>IF(F55="","",ROUND(F55*N(G55),2))</f>
        <v/>
      </c>
      <c r="I55" s="11">
        <f>IF(F55="","",F55+H55)</f>
        <v/>
      </c>
      <c r="J55" s="6" t="n"/>
      <c r="K55" s="11">
        <f>IF(F55="","",ROUND(F55*IF(J55="",1,J55),2))</f>
        <v/>
      </c>
      <c r="L55" s="11">
        <f>IF(F55="","",ROUND(H55*IF(J55="",1,J55),2))</f>
        <v/>
      </c>
      <c r="M55" s="12">
        <f>IF(A55="","",ROUNDUP(MONTH(A55)/3,0))</f>
        <v/>
      </c>
      <c r="N55" s="12">
        <f>IF(A55="","",MONTH(A55))</f>
        <v/>
      </c>
    </row>
    <row r="56">
      <c r="A56" s="9" t="n"/>
      <c r="B56" s="5" t="n"/>
      <c r="C56" s="5" t="n"/>
      <c r="D56" s="5" t="n"/>
      <c r="E56" s="5" t="n"/>
      <c r="F56" s="10" t="n"/>
      <c r="G56" s="6" t="n"/>
      <c r="H56" s="11">
        <f>IF(F56="","",ROUND(F56*N(G56),2))</f>
        <v/>
      </c>
      <c r="I56" s="11">
        <f>IF(F56="","",F56+H56)</f>
        <v/>
      </c>
      <c r="J56" s="6" t="n"/>
      <c r="K56" s="11">
        <f>IF(F56="","",ROUND(F56*IF(J56="",1,J56),2))</f>
        <v/>
      </c>
      <c r="L56" s="11">
        <f>IF(F56="","",ROUND(H56*IF(J56="",1,J56),2))</f>
        <v/>
      </c>
      <c r="M56" s="12">
        <f>IF(A56="","",ROUNDUP(MONTH(A56)/3,0))</f>
        <v/>
      </c>
      <c r="N56" s="12">
        <f>IF(A56="","",MONTH(A56))</f>
        <v/>
      </c>
    </row>
    <row r="57">
      <c r="A57" s="9" t="n"/>
      <c r="B57" s="5" t="n"/>
      <c r="C57" s="5" t="n"/>
      <c r="D57" s="5" t="n"/>
      <c r="E57" s="5" t="n"/>
      <c r="F57" s="10" t="n"/>
      <c r="G57" s="6" t="n"/>
      <c r="H57" s="11">
        <f>IF(F57="","",ROUND(F57*N(G57),2))</f>
        <v/>
      </c>
      <c r="I57" s="11">
        <f>IF(F57="","",F57+H57)</f>
        <v/>
      </c>
      <c r="J57" s="6" t="n"/>
      <c r="K57" s="11">
        <f>IF(F57="","",ROUND(F57*IF(J57="",1,J57),2))</f>
        <v/>
      </c>
      <c r="L57" s="11">
        <f>IF(F57="","",ROUND(H57*IF(J57="",1,J57),2))</f>
        <v/>
      </c>
      <c r="M57" s="12">
        <f>IF(A57="","",ROUNDUP(MONTH(A57)/3,0))</f>
        <v/>
      </c>
      <c r="N57" s="12">
        <f>IF(A57="","",MONTH(A57))</f>
        <v/>
      </c>
    </row>
    <row r="58">
      <c r="A58" s="9" t="n"/>
      <c r="B58" s="5" t="n"/>
      <c r="C58" s="5" t="n"/>
      <c r="D58" s="5" t="n"/>
      <c r="E58" s="5" t="n"/>
      <c r="F58" s="10" t="n"/>
      <c r="G58" s="6" t="n"/>
      <c r="H58" s="11">
        <f>IF(F58="","",ROUND(F58*N(G58),2))</f>
        <v/>
      </c>
      <c r="I58" s="11">
        <f>IF(F58="","",F58+H58)</f>
        <v/>
      </c>
      <c r="J58" s="6" t="n"/>
      <c r="K58" s="11">
        <f>IF(F58="","",ROUND(F58*IF(J58="",1,J58),2))</f>
        <v/>
      </c>
      <c r="L58" s="11">
        <f>IF(F58="","",ROUND(H58*IF(J58="",1,J58),2))</f>
        <v/>
      </c>
      <c r="M58" s="12">
        <f>IF(A58="","",ROUNDUP(MONTH(A58)/3,0))</f>
        <v/>
      </c>
      <c r="N58" s="12">
        <f>IF(A58="","",MONTH(A58))</f>
        <v/>
      </c>
    </row>
    <row r="59">
      <c r="A59" s="9" t="n"/>
      <c r="B59" s="5" t="n"/>
      <c r="C59" s="5" t="n"/>
      <c r="D59" s="5" t="n"/>
      <c r="E59" s="5" t="n"/>
      <c r="F59" s="10" t="n"/>
      <c r="G59" s="6" t="n"/>
      <c r="H59" s="11">
        <f>IF(F59="","",ROUND(F59*N(G59),2))</f>
        <v/>
      </c>
      <c r="I59" s="11">
        <f>IF(F59="","",F59+H59)</f>
        <v/>
      </c>
      <c r="J59" s="6" t="n"/>
      <c r="K59" s="11">
        <f>IF(F59="","",ROUND(F59*IF(J59="",1,J59),2))</f>
        <v/>
      </c>
      <c r="L59" s="11">
        <f>IF(F59="","",ROUND(H59*IF(J59="",1,J59),2))</f>
        <v/>
      </c>
      <c r="M59" s="12">
        <f>IF(A59="","",ROUNDUP(MONTH(A59)/3,0))</f>
        <v/>
      </c>
      <c r="N59" s="12">
        <f>IF(A59="","",MONTH(A59))</f>
        <v/>
      </c>
    </row>
    <row r="60">
      <c r="A60" s="9" t="n"/>
      <c r="B60" s="5" t="n"/>
      <c r="C60" s="5" t="n"/>
      <c r="D60" s="5" t="n"/>
      <c r="E60" s="5" t="n"/>
      <c r="F60" s="10" t="n"/>
      <c r="G60" s="6" t="n"/>
      <c r="H60" s="11">
        <f>IF(F60="","",ROUND(F60*N(G60),2))</f>
        <v/>
      </c>
      <c r="I60" s="11">
        <f>IF(F60="","",F60+H60)</f>
        <v/>
      </c>
      <c r="J60" s="6" t="n"/>
      <c r="K60" s="11">
        <f>IF(F60="","",ROUND(F60*IF(J60="",1,J60),2))</f>
        <v/>
      </c>
      <c r="L60" s="11">
        <f>IF(F60="","",ROUND(H60*IF(J60="",1,J60),2))</f>
        <v/>
      </c>
      <c r="M60" s="12">
        <f>IF(A60="","",ROUNDUP(MONTH(A60)/3,0))</f>
        <v/>
      </c>
      <c r="N60" s="12">
        <f>IF(A60="","",MONTH(A60))</f>
        <v/>
      </c>
    </row>
    <row r="61">
      <c r="A61" s="9" t="n"/>
      <c r="B61" s="5" t="n"/>
      <c r="C61" s="5" t="n"/>
      <c r="D61" s="5" t="n"/>
      <c r="E61" s="5" t="n"/>
      <c r="F61" s="10" t="n"/>
      <c r="G61" s="6" t="n"/>
      <c r="H61" s="11">
        <f>IF(F61="","",ROUND(F61*N(G61),2))</f>
        <v/>
      </c>
      <c r="I61" s="11">
        <f>IF(F61="","",F61+H61)</f>
        <v/>
      </c>
      <c r="J61" s="6" t="n"/>
      <c r="K61" s="11">
        <f>IF(F61="","",ROUND(F61*IF(J61="",1,J61),2))</f>
        <v/>
      </c>
      <c r="L61" s="11">
        <f>IF(F61="","",ROUND(H61*IF(J61="",1,J61),2))</f>
        <v/>
      </c>
      <c r="M61" s="12">
        <f>IF(A61="","",ROUNDUP(MONTH(A61)/3,0))</f>
        <v/>
      </c>
      <c r="N61" s="12">
        <f>IF(A61="","",MONTH(A61))</f>
        <v/>
      </c>
    </row>
    <row r="62">
      <c r="A62" s="9" t="n"/>
      <c r="B62" s="5" t="n"/>
      <c r="C62" s="5" t="n"/>
      <c r="D62" s="5" t="n"/>
      <c r="E62" s="5" t="n"/>
      <c r="F62" s="10" t="n"/>
      <c r="G62" s="6" t="n"/>
      <c r="H62" s="11">
        <f>IF(F62="","",ROUND(F62*N(G62),2))</f>
        <v/>
      </c>
      <c r="I62" s="11">
        <f>IF(F62="","",F62+H62)</f>
        <v/>
      </c>
      <c r="J62" s="6" t="n"/>
      <c r="K62" s="11">
        <f>IF(F62="","",ROUND(F62*IF(J62="",1,J62),2))</f>
        <v/>
      </c>
      <c r="L62" s="11">
        <f>IF(F62="","",ROUND(H62*IF(J62="",1,J62),2))</f>
        <v/>
      </c>
      <c r="M62" s="12">
        <f>IF(A62="","",ROUNDUP(MONTH(A62)/3,0))</f>
        <v/>
      </c>
      <c r="N62" s="12">
        <f>IF(A62="","",MONTH(A62))</f>
        <v/>
      </c>
    </row>
    <row r="63">
      <c r="A63" s="9" t="n"/>
      <c r="B63" s="5" t="n"/>
      <c r="C63" s="5" t="n"/>
      <c r="D63" s="5" t="n"/>
      <c r="E63" s="5" t="n"/>
      <c r="F63" s="10" t="n"/>
      <c r="G63" s="6" t="n"/>
      <c r="H63" s="11">
        <f>IF(F63="","",ROUND(F63*N(G63),2))</f>
        <v/>
      </c>
      <c r="I63" s="11">
        <f>IF(F63="","",F63+H63)</f>
        <v/>
      </c>
      <c r="J63" s="6" t="n"/>
      <c r="K63" s="11">
        <f>IF(F63="","",ROUND(F63*IF(J63="",1,J63),2))</f>
        <v/>
      </c>
      <c r="L63" s="11">
        <f>IF(F63="","",ROUND(H63*IF(J63="",1,J63),2))</f>
        <v/>
      </c>
      <c r="M63" s="12">
        <f>IF(A63="","",ROUNDUP(MONTH(A63)/3,0))</f>
        <v/>
      </c>
      <c r="N63" s="12">
        <f>IF(A63="","",MONTH(A63))</f>
        <v/>
      </c>
    </row>
    <row r="64">
      <c r="A64" s="9" t="n"/>
      <c r="B64" s="5" t="n"/>
      <c r="C64" s="5" t="n"/>
      <c r="D64" s="5" t="n"/>
      <c r="E64" s="5" t="n"/>
      <c r="F64" s="10" t="n"/>
      <c r="G64" s="6" t="n"/>
      <c r="H64" s="11">
        <f>IF(F64="","",ROUND(F64*N(G64),2))</f>
        <v/>
      </c>
      <c r="I64" s="11">
        <f>IF(F64="","",F64+H64)</f>
        <v/>
      </c>
      <c r="J64" s="6" t="n"/>
      <c r="K64" s="11">
        <f>IF(F64="","",ROUND(F64*IF(J64="",1,J64),2))</f>
        <v/>
      </c>
      <c r="L64" s="11">
        <f>IF(F64="","",ROUND(H64*IF(J64="",1,J64),2))</f>
        <v/>
      </c>
      <c r="M64" s="12">
        <f>IF(A64="","",ROUNDUP(MONTH(A64)/3,0))</f>
        <v/>
      </c>
      <c r="N64" s="12">
        <f>IF(A64="","",MONTH(A64))</f>
        <v/>
      </c>
    </row>
    <row r="65">
      <c r="A65" s="9" t="n"/>
      <c r="B65" s="5" t="n"/>
      <c r="C65" s="5" t="n"/>
      <c r="D65" s="5" t="n"/>
      <c r="E65" s="5" t="n"/>
      <c r="F65" s="10" t="n"/>
      <c r="G65" s="6" t="n"/>
      <c r="H65" s="11">
        <f>IF(F65="","",ROUND(F65*N(G65),2))</f>
        <v/>
      </c>
      <c r="I65" s="11">
        <f>IF(F65="","",F65+H65)</f>
        <v/>
      </c>
      <c r="J65" s="6" t="n"/>
      <c r="K65" s="11">
        <f>IF(F65="","",ROUND(F65*IF(J65="",1,J65),2))</f>
        <v/>
      </c>
      <c r="L65" s="11">
        <f>IF(F65="","",ROUND(H65*IF(J65="",1,J65),2))</f>
        <v/>
      </c>
      <c r="M65" s="12">
        <f>IF(A65="","",ROUNDUP(MONTH(A65)/3,0))</f>
        <v/>
      </c>
      <c r="N65" s="12">
        <f>IF(A65="","",MONTH(A65))</f>
        <v/>
      </c>
    </row>
    <row r="66">
      <c r="A66" s="9" t="n"/>
      <c r="B66" s="5" t="n"/>
      <c r="C66" s="5" t="n"/>
      <c r="D66" s="5" t="n"/>
      <c r="E66" s="5" t="n"/>
      <c r="F66" s="10" t="n"/>
      <c r="G66" s="6" t="n"/>
      <c r="H66" s="11">
        <f>IF(F66="","",ROUND(F66*N(G66),2))</f>
        <v/>
      </c>
      <c r="I66" s="11">
        <f>IF(F66="","",F66+H66)</f>
        <v/>
      </c>
      <c r="J66" s="6" t="n"/>
      <c r="K66" s="11">
        <f>IF(F66="","",ROUND(F66*IF(J66="",1,J66),2))</f>
        <v/>
      </c>
      <c r="L66" s="11">
        <f>IF(F66="","",ROUND(H66*IF(J66="",1,J66),2))</f>
        <v/>
      </c>
      <c r="M66" s="12">
        <f>IF(A66="","",ROUNDUP(MONTH(A66)/3,0))</f>
        <v/>
      </c>
      <c r="N66" s="12">
        <f>IF(A66="","",MONTH(A66))</f>
        <v/>
      </c>
    </row>
    <row r="67">
      <c r="A67" s="9" t="n"/>
      <c r="B67" s="5" t="n"/>
      <c r="C67" s="5" t="n"/>
      <c r="D67" s="5" t="n"/>
      <c r="E67" s="5" t="n"/>
      <c r="F67" s="10" t="n"/>
      <c r="G67" s="6" t="n"/>
      <c r="H67" s="11">
        <f>IF(F67="","",ROUND(F67*N(G67),2))</f>
        <v/>
      </c>
      <c r="I67" s="11">
        <f>IF(F67="","",F67+H67)</f>
        <v/>
      </c>
      <c r="J67" s="6" t="n"/>
      <c r="K67" s="11">
        <f>IF(F67="","",ROUND(F67*IF(J67="",1,J67),2))</f>
        <v/>
      </c>
      <c r="L67" s="11">
        <f>IF(F67="","",ROUND(H67*IF(J67="",1,J67),2))</f>
        <v/>
      </c>
      <c r="M67" s="12">
        <f>IF(A67="","",ROUNDUP(MONTH(A67)/3,0))</f>
        <v/>
      </c>
      <c r="N67" s="12">
        <f>IF(A67="","",MONTH(A67))</f>
        <v/>
      </c>
    </row>
    <row r="68">
      <c r="A68" s="9" t="n"/>
      <c r="B68" s="5" t="n"/>
      <c r="C68" s="5" t="n"/>
      <c r="D68" s="5" t="n"/>
      <c r="E68" s="5" t="n"/>
      <c r="F68" s="10" t="n"/>
      <c r="G68" s="6" t="n"/>
      <c r="H68" s="11">
        <f>IF(F68="","",ROUND(F68*N(G68),2))</f>
        <v/>
      </c>
      <c r="I68" s="11">
        <f>IF(F68="","",F68+H68)</f>
        <v/>
      </c>
      <c r="J68" s="6" t="n"/>
      <c r="K68" s="11">
        <f>IF(F68="","",ROUND(F68*IF(J68="",1,J68),2))</f>
        <v/>
      </c>
      <c r="L68" s="11">
        <f>IF(F68="","",ROUND(H68*IF(J68="",1,J68),2))</f>
        <v/>
      </c>
      <c r="M68" s="12">
        <f>IF(A68="","",ROUNDUP(MONTH(A68)/3,0))</f>
        <v/>
      </c>
      <c r="N68" s="12">
        <f>IF(A68="","",MONTH(A68))</f>
        <v/>
      </c>
    </row>
    <row r="69">
      <c r="A69" s="9" t="n"/>
      <c r="B69" s="5" t="n"/>
      <c r="C69" s="5" t="n"/>
      <c r="D69" s="5" t="n"/>
      <c r="E69" s="5" t="n"/>
      <c r="F69" s="10" t="n"/>
      <c r="G69" s="6" t="n"/>
      <c r="H69" s="11">
        <f>IF(F69="","",ROUND(F69*N(G69),2))</f>
        <v/>
      </c>
      <c r="I69" s="11">
        <f>IF(F69="","",F69+H69)</f>
        <v/>
      </c>
      <c r="J69" s="6" t="n"/>
      <c r="K69" s="11">
        <f>IF(F69="","",ROUND(F69*IF(J69="",1,J69),2))</f>
        <v/>
      </c>
      <c r="L69" s="11">
        <f>IF(F69="","",ROUND(H69*IF(J69="",1,J69),2))</f>
        <v/>
      </c>
      <c r="M69" s="12">
        <f>IF(A69="","",ROUNDUP(MONTH(A69)/3,0))</f>
        <v/>
      </c>
      <c r="N69" s="12">
        <f>IF(A69="","",MONTH(A69))</f>
        <v/>
      </c>
    </row>
    <row r="70">
      <c r="A70" s="9" t="n"/>
      <c r="B70" s="5" t="n"/>
      <c r="C70" s="5" t="n"/>
      <c r="D70" s="5" t="n"/>
      <c r="E70" s="5" t="n"/>
      <c r="F70" s="10" t="n"/>
      <c r="G70" s="6" t="n"/>
      <c r="H70" s="11">
        <f>IF(F70="","",ROUND(F70*N(G70),2))</f>
        <v/>
      </c>
      <c r="I70" s="11">
        <f>IF(F70="","",F70+H70)</f>
        <v/>
      </c>
      <c r="J70" s="6" t="n"/>
      <c r="K70" s="11">
        <f>IF(F70="","",ROUND(F70*IF(J70="",1,J70),2))</f>
        <v/>
      </c>
      <c r="L70" s="11">
        <f>IF(F70="","",ROUND(H70*IF(J70="",1,J70),2))</f>
        <v/>
      </c>
      <c r="M70" s="12">
        <f>IF(A70="","",ROUNDUP(MONTH(A70)/3,0))</f>
        <v/>
      </c>
      <c r="N70" s="12">
        <f>IF(A70="","",MONTH(A70))</f>
        <v/>
      </c>
    </row>
    <row r="71">
      <c r="A71" s="9" t="n"/>
      <c r="B71" s="5" t="n"/>
      <c r="C71" s="5" t="n"/>
      <c r="D71" s="5" t="n"/>
      <c r="E71" s="5" t="n"/>
      <c r="F71" s="10" t="n"/>
      <c r="G71" s="6" t="n"/>
      <c r="H71" s="11">
        <f>IF(F71="","",ROUND(F71*N(G71),2))</f>
        <v/>
      </c>
      <c r="I71" s="11">
        <f>IF(F71="","",F71+H71)</f>
        <v/>
      </c>
      <c r="J71" s="6" t="n"/>
      <c r="K71" s="11">
        <f>IF(F71="","",ROUND(F71*IF(J71="",1,J71),2))</f>
        <v/>
      </c>
      <c r="L71" s="11">
        <f>IF(F71="","",ROUND(H71*IF(J71="",1,J71),2))</f>
        <v/>
      </c>
      <c r="M71" s="12">
        <f>IF(A71="","",ROUNDUP(MONTH(A71)/3,0))</f>
        <v/>
      </c>
      <c r="N71" s="12">
        <f>IF(A71="","",MONTH(A71))</f>
        <v/>
      </c>
    </row>
    <row r="72">
      <c r="A72" s="9" t="n"/>
      <c r="B72" s="5" t="n"/>
      <c r="C72" s="5" t="n"/>
      <c r="D72" s="5" t="n"/>
      <c r="E72" s="5" t="n"/>
      <c r="F72" s="10" t="n"/>
      <c r="G72" s="6" t="n"/>
      <c r="H72" s="11">
        <f>IF(F72="","",ROUND(F72*N(G72),2))</f>
        <v/>
      </c>
      <c r="I72" s="11">
        <f>IF(F72="","",F72+H72)</f>
        <v/>
      </c>
      <c r="J72" s="6" t="n"/>
      <c r="K72" s="11">
        <f>IF(F72="","",ROUND(F72*IF(J72="",1,J72),2))</f>
        <v/>
      </c>
      <c r="L72" s="11">
        <f>IF(F72="","",ROUND(H72*IF(J72="",1,J72),2))</f>
        <v/>
      </c>
      <c r="M72" s="12">
        <f>IF(A72="","",ROUNDUP(MONTH(A72)/3,0))</f>
        <v/>
      </c>
      <c r="N72" s="12">
        <f>IF(A72="","",MONTH(A72))</f>
        <v/>
      </c>
    </row>
    <row r="73">
      <c r="A73" s="9" t="n"/>
      <c r="B73" s="5" t="n"/>
      <c r="C73" s="5" t="n"/>
      <c r="D73" s="5" t="n"/>
      <c r="E73" s="5" t="n"/>
      <c r="F73" s="10" t="n"/>
      <c r="G73" s="6" t="n"/>
      <c r="H73" s="11">
        <f>IF(F73="","",ROUND(F73*N(G73),2))</f>
        <v/>
      </c>
      <c r="I73" s="11">
        <f>IF(F73="","",F73+H73)</f>
        <v/>
      </c>
      <c r="J73" s="6" t="n"/>
      <c r="K73" s="11">
        <f>IF(F73="","",ROUND(F73*IF(J73="",1,J73),2))</f>
        <v/>
      </c>
      <c r="L73" s="11">
        <f>IF(F73="","",ROUND(H73*IF(J73="",1,J73),2))</f>
        <v/>
      </c>
      <c r="M73" s="12">
        <f>IF(A73="","",ROUNDUP(MONTH(A73)/3,0))</f>
        <v/>
      </c>
      <c r="N73" s="12">
        <f>IF(A73="","",MONTH(A73))</f>
        <v/>
      </c>
    </row>
    <row r="74">
      <c r="A74" s="9" t="n"/>
      <c r="B74" s="5" t="n"/>
      <c r="C74" s="5" t="n"/>
      <c r="D74" s="5" t="n"/>
      <c r="E74" s="5" t="n"/>
      <c r="F74" s="10" t="n"/>
      <c r="G74" s="6" t="n"/>
      <c r="H74" s="11">
        <f>IF(F74="","",ROUND(F74*N(G74),2))</f>
        <v/>
      </c>
      <c r="I74" s="11">
        <f>IF(F74="","",F74+H74)</f>
        <v/>
      </c>
      <c r="J74" s="6" t="n"/>
      <c r="K74" s="11">
        <f>IF(F74="","",ROUND(F74*IF(J74="",1,J74),2))</f>
        <v/>
      </c>
      <c r="L74" s="11">
        <f>IF(F74="","",ROUND(H74*IF(J74="",1,J74),2))</f>
        <v/>
      </c>
      <c r="M74" s="12">
        <f>IF(A74="","",ROUNDUP(MONTH(A74)/3,0))</f>
        <v/>
      </c>
      <c r="N74" s="12">
        <f>IF(A74="","",MONTH(A74))</f>
        <v/>
      </c>
    </row>
    <row r="75">
      <c r="A75" s="9" t="n"/>
      <c r="B75" s="5" t="n"/>
      <c r="C75" s="5" t="n"/>
      <c r="D75" s="5" t="n"/>
      <c r="E75" s="5" t="n"/>
      <c r="F75" s="10" t="n"/>
      <c r="G75" s="6" t="n"/>
      <c r="H75" s="11">
        <f>IF(F75="","",ROUND(F75*N(G75),2))</f>
        <v/>
      </c>
      <c r="I75" s="11">
        <f>IF(F75="","",F75+H75)</f>
        <v/>
      </c>
      <c r="J75" s="6" t="n"/>
      <c r="K75" s="11">
        <f>IF(F75="","",ROUND(F75*IF(J75="",1,J75),2))</f>
        <v/>
      </c>
      <c r="L75" s="11">
        <f>IF(F75="","",ROUND(H75*IF(J75="",1,J75),2))</f>
        <v/>
      </c>
      <c r="M75" s="12">
        <f>IF(A75="","",ROUNDUP(MONTH(A75)/3,0))</f>
        <v/>
      </c>
      <c r="N75" s="12">
        <f>IF(A75="","",MONTH(A75))</f>
        <v/>
      </c>
    </row>
    <row r="76">
      <c r="A76" s="9" t="n"/>
      <c r="B76" s="5" t="n"/>
      <c r="C76" s="5" t="n"/>
      <c r="D76" s="5" t="n"/>
      <c r="E76" s="5" t="n"/>
      <c r="F76" s="10" t="n"/>
      <c r="G76" s="6" t="n"/>
      <c r="H76" s="11">
        <f>IF(F76="","",ROUND(F76*N(G76),2))</f>
        <v/>
      </c>
      <c r="I76" s="11">
        <f>IF(F76="","",F76+H76)</f>
        <v/>
      </c>
      <c r="J76" s="6" t="n"/>
      <c r="K76" s="11">
        <f>IF(F76="","",ROUND(F76*IF(J76="",1,J76),2))</f>
        <v/>
      </c>
      <c r="L76" s="11">
        <f>IF(F76="","",ROUND(H76*IF(J76="",1,J76),2))</f>
        <v/>
      </c>
      <c r="M76" s="12">
        <f>IF(A76="","",ROUNDUP(MONTH(A76)/3,0))</f>
        <v/>
      </c>
      <c r="N76" s="12">
        <f>IF(A76="","",MONTH(A76))</f>
        <v/>
      </c>
    </row>
    <row r="77">
      <c r="A77" s="9" t="n"/>
      <c r="B77" s="5" t="n"/>
      <c r="C77" s="5" t="n"/>
      <c r="D77" s="5" t="n"/>
      <c r="E77" s="5" t="n"/>
      <c r="F77" s="10" t="n"/>
      <c r="G77" s="6" t="n"/>
      <c r="H77" s="11">
        <f>IF(F77="","",ROUND(F77*N(G77),2))</f>
        <v/>
      </c>
      <c r="I77" s="11">
        <f>IF(F77="","",F77+H77)</f>
        <v/>
      </c>
      <c r="J77" s="6" t="n"/>
      <c r="K77" s="11">
        <f>IF(F77="","",ROUND(F77*IF(J77="",1,J77),2))</f>
        <v/>
      </c>
      <c r="L77" s="11">
        <f>IF(F77="","",ROUND(H77*IF(J77="",1,J77),2))</f>
        <v/>
      </c>
      <c r="M77" s="12">
        <f>IF(A77="","",ROUNDUP(MONTH(A77)/3,0))</f>
        <v/>
      </c>
      <c r="N77" s="12">
        <f>IF(A77="","",MONTH(A77))</f>
        <v/>
      </c>
    </row>
    <row r="78">
      <c r="A78" s="9" t="n"/>
      <c r="B78" s="5" t="n"/>
      <c r="C78" s="5" t="n"/>
      <c r="D78" s="5" t="n"/>
      <c r="E78" s="5" t="n"/>
      <c r="F78" s="10" t="n"/>
      <c r="G78" s="6" t="n"/>
      <c r="H78" s="11">
        <f>IF(F78="","",ROUND(F78*N(G78),2))</f>
        <v/>
      </c>
      <c r="I78" s="11">
        <f>IF(F78="","",F78+H78)</f>
        <v/>
      </c>
      <c r="J78" s="6" t="n"/>
      <c r="K78" s="11">
        <f>IF(F78="","",ROUND(F78*IF(J78="",1,J78),2))</f>
        <v/>
      </c>
      <c r="L78" s="11">
        <f>IF(F78="","",ROUND(H78*IF(J78="",1,J78),2))</f>
        <v/>
      </c>
      <c r="M78" s="12">
        <f>IF(A78="","",ROUNDUP(MONTH(A78)/3,0))</f>
        <v/>
      </c>
      <c r="N78" s="12">
        <f>IF(A78="","",MONTH(A78))</f>
        <v/>
      </c>
    </row>
    <row r="79">
      <c r="A79" s="9" t="n"/>
      <c r="B79" s="5" t="n"/>
      <c r="C79" s="5" t="n"/>
      <c r="D79" s="5" t="n"/>
      <c r="E79" s="5" t="n"/>
      <c r="F79" s="10" t="n"/>
      <c r="G79" s="6" t="n"/>
      <c r="H79" s="11">
        <f>IF(F79="","",ROUND(F79*N(G79),2))</f>
        <v/>
      </c>
      <c r="I79" s="11">
        <f>IF(F79="","",F79+H79)</f>
        <v/>
      </c>
      <c r="J79" s="6" t="n"/>
      <c r="K79" s="11">
        <f>IF(F79="","",ROUND(F79*IF(J79="",1,J79),2))</f>
        <v/>
      </c>
      <c r="L79" s="11">
        <f>IF(F79="","",ROUND(H79*IF(J79="",1,J79),2))</f>
        <v/>
      </c>
      <c r="M79" s="12">
        <f>IF(A79="","",ROUNDUP(MONTH(A79)/3,0))</f>
        <v/>
      </c>
      <c r="N79" s="12">
        <f>IF(A79="","",MONTH(A79))</f>
        <v/>
      </c>
    </row>
    <row r="80">
      <c r="A80" s="9" t="n"/>
      <c r="B80" s="5" t="n"/>
      <c r="C80" s="5" t="n"/>
      <c r="D80" s="5" t="n"/>
      <c r="E80" s="5" t="n"/>
      <c r="F80" s="10" t="n"/>
      <c r="G80" s="6" t="n"/>
      <c r="H80" s="11">
        <f>IF(F80="","",ROUND(F80*N(G80),2))</f>
        <v/>
      </c>
      <c r="I80" s="11">
        <f>IF(F80="","",F80+H80)</f>
        <v/>
      </c>
      <c r="J80" s="6" t="n"/>
      <c r="K80" s="11">
        <f>IF(F80="","",ROUND(F80*IF(J80="",1,J80),2))</f>
        <v/>
      </c>
      <c r="L80" s="11">
        <f>IF(F80="","",ROUND(H80*IF(J80="",1,J80),2))</f>
        <v/>
      </c>
      <c r="M80" s="12">
        <f>IF(A80="","",ROUNDUP(MONTH(A80)/3,0))</f>
        <v/>
      </c>
      <c r="N80" s="12">
        <f>IF(A80="","",MONTH(A80))</f>
        <v/>
      </c>
    </row>
    <row r="81">
      <c r="A81" s="9" t="n"/>
      <c r="B81" s="5" t="n"/>
      <c r="C81" s="5" t="n"/>
      <c r="D81" s="5" t="n"/>
      <c r="E81" s="5" t="n"/>
      <c r="F81" s="10" t="n"/>
      <c r="G81" s="6" t="n"/>
      <c r="H81" s="11">
        <f>IF(F81="","",ROUND(F81*N(G81),2))</f>
        <v/>
      </c>
      <c r="I81" s="11">
        <f>IF(F81="","",F81+H81)</f>
        <v/>
      </c>
      <c r="J81" s="6" t="n"/>
      <c r="K81" s="11">
        <f>IF(F81="","",ROUND(F81*IF(J81="",1,J81),2))</f>
        <v/>
      </c>
      <c r="L81" s="11">
        <f>IF(F81="","",ROUND(H81*IF(J81="",1,J81),2))</f>
        <v/>
      </c>
      <c r="M81" s="12">
        <f>IF(A81="","",ROUNDUP(MONTH(A81)/3,0))</f>
        <v/>
      </c>
      <c r="N81" s="12">
        <f>IF(A81="","",MONTH(A81))</f>
        <v/>
      </c>
    </row>
    <row r="82">
      <c r="A82" s="9" t="n"/>
      <c r="B82" s="5" t="n"/>
      <c r="C82" s="5" t="n"/>
      <c r="D82" s="5" t="n"/>
      <c r="E82" s="5" t="n"/>
      <c r="F82" s="10" t="n"/>
      <c r="G82" s="6" t="n"/>
      <c r="H82" s="11">
        <f>IF(F82="","",ROUND(F82*N(G82),2))</f>
        <v/>
      </c>
      <c r="I82" s="11">
        <f>IF(F82="","",F82+H82)</f>
        <v/>
      </c>
      <c r="J82" s="6" t="n"/>
      <c r="K82" s="11">
        <f>IF(F82="","",ROUND(F82*IF(J82="",1,J82),2))</f>
        <v/>
      </c>
      <c r="L82" s="11">
        <f>IF(F82="","",ROUND(H82*IF(J82="",1,J82),2))</f>
        <v/>
      </c>
      <c r="M82" s="12">
        <f>IF(A82="","",ROUNDUP(MONTH(A82)/3,0))</f>
        <v/>
      </c>
      <c r="N82" s="12">
        <f>IF(A82="","",MONTH(A82))</f>
        <v/>
      </c>
    </row>
    <row r="83">
      <c r="A83" s="9" t="n"/>
      <c r="B83" s="5" t="n"/>
      <c r="C83" s="5" t="n"/>
      <c r="D83" s="5" t="n"/>
      <c r="E83" s="5" t="n"/>
      <c r="F83" s="10" t="n"/>
      <c r="G83" s="6" t="n"/>
      <c r="H83" s="11">
        <f>IF(F83="","",ROUND(F83*N(G83),2))</f>
        <v/>
      </c>
      <c r="I83" s="11">
        <f>IF(F83="","",F83+H83)</f>
        <v/>
      </c>
      <c r="J83" s="6" t="n"/>
      <c r="K83" s="11">
        <f>IF(F83="","",ROUND(F83*IF(J83="",1,J83),2))</f>
        <v/>
      </c>
      <c r="L83" s="11">
        <f>IF(F83="","",ROUND(H83*IF(J83="",1,J83),2))</f>
        <v/>
      </c>
      <c r="M83" s="12">
        <f>IF(A83="","",ROUNDUP(MONTH(A83)/3,0))</f>
        <v/>
      </c>
      <c r="N83" s="12">
        <f>IF(A83="","",MONTH(A83))</f>
        <v/>
      </c>
    </row>
    <row r="84">
      <c r="A84" s="9" t="n"/>
      <c r="B84" s="5" t="n"/>
      <c r="C84" s="5" t="n"/>
      <c r="D84" s="5" t="n"/>
      <c r="E84" s="5" t="n"/>
      <c r="F84" s="10" t="n"/>
      <c r="G84" s="6" t="n"/>
      <c r="H84" s="11">
        <f>IF(F84="","",ROUND(F84*N(G84),2))</f>
        <v/>
      </c>
      <c r="I84" s="11">
        <f>IF(F84="","",F84+H84)</f>
        <v/>
      </c>
      <c r="J84" s="6" t="n"/>
      <c r="K84" s="11">
        <f>IF(F84="","",ROUND(F84*IF(J84="",1,J84),2))</f>
        <v/>
      </c>
      <c r="L84" s="11">
        <f>IF(F84="","",ROUND(H84*IF(J84="",1,J84),2))</f>
        <v/>
      </c>
      <c r="M84" s="12">
        <f>IF(A84="","",ROUNDUP(MONTH(A84)/3,0))</f>
        <v/>
      </c>
      <c r="N84" s="12">
        <f>IF(A84="","",MONTH(A84))</f>
        <v/>
      </c>
    </row>
    <row r="85">
      <c r="A85" s="9" t="n"/>
      <c r="B85" s="5" t="n"/>
      <c r="C85" s="5" t="n"/>
      <c r="D85" s="5" t="n"/>
      <c r="E85" s="5" t="n"/>
      <c r="F85" s="10" t="n"/>
      <c r="G85" s="6" t="n"/>
      <c r="H85" s="11">
        <f>IF(F85="","",ROUND(F85*N(G85),2))</f>
        <v/>
      </c>
      <c r="I85" s="11">
        <f>IF(F85="","",F85+H85)</f>
        <v/>
      </c>
      <c r="J85" s="6" t="n"/>
      <c r="K85" s="11">
        <f>IF(F85="","",ROUND(F85*IF(J85="",1,J85),2))</f>
        <v/>
      </c>
      <c r="L85" s="11">
        <f>IF(F85="","",ROUND(H85*IF(J85="",1,J85),2))</f>
        <v/>
      </c>
      <c r="M85" s="12">
        <f>IF(A85="","",ROUNDUP(MONTH(A85)/3,0))</f>
        <v/>
      </c>
      <c r="N85" s="12">
        <f>IF(A85="","",MONTH(A85))</f>
        <v/>
      </c>
    </row>
    <row r="86">
      <c r="A86" s="9" t="n"/>
      <c r="B86" s="5" t="n"/>
      <c r="C86" s="5" t="n"/>
      <c r="D86" s="5" t="n"/>
      <c r="E86" s="5" t="n"/>
      <c r="F86" s="10" t="n"/>
      <c r="G86" s="6" t="n"/>
      <c r="H86" s="11">
        <f>IF(F86="","",ROUND(F86*N(G86),2))</f>
        <v/>
      </c>
      <c r="I86" s="11">
        <f>IF(F86="","",F86+H86)</f>
        <v/>
      </c>
      <c r="J86" s="6" t="n"/>
      <c r="K86" s="11">
        <f>IF(F86="","",ROUND(F86*IF(J86="",1,J86),2))</f>
        <v/>
      </c>
      <c r="L86" s="11">
        <f>IF(F86="","",ROUND(H86*IF(J86="",1,J86),2))</f>
        <v/>
      </c>
      <c r="M86" s="12">
        <f>IF(A86="","",ROUNDUP(MONTH(A86)/3,0))</f>
        <v/>
      </c>
      <c r="N86" s="12">
        <f>IF(A86="","",MONTH(A86))</f>
        <v/>
      </c>
    </row>
    <row r="87">
      <c r="A87" s="9" t="n"/>
      <c r="B87" s="5" t="n"/>
      <c r="C87" s="5" t="n"/>
      <c r="D87" s="5" t="n"/>
      <c r="E87" s="5" t="n"/>
      <c r="F87" s="10" t="n"/>
      <c r="G87" s="6" t="n"/>
      <c r="H87" s="11">
        <f>IF(F87="","",ROUND(F87*N(G87),2))</f>
        <v/>
      </c>
      <c r="I87" s="11">
        <f>IF(F87="","",F87+H87)</f>
        <v/>
      </c>
      <c r="J87" s="6" t="n"/>
      <c r="K87" s="11">
        <f>IF(F87="","",ROUND(F87*IF(J87="",1,J87),2))</f>
        <v/>
      </c>
      <c r="L87" s="11">
        <f>IF(F87="","",ROUND(H87*IF(J87="",1,J87),2))</f>
        <v/>
      </c>
      <c r="M87" s="12">
        <f>IF(A87="","",ROUNDUP(MONTH(A87)/3,0))</f>
        <v/>
      </c>
      <c r="N87" s="12">
        <f>IF(A87="","",MONTH(A87))</f>
        <v/>
      </c>
    </row>
    <row r="88">
      <c r="A88" s="9" t="n"/>
      <c r="B88" s="5" t="n"/>
      <c r="C88" s="5" t="n"/>
      <c r="D88" s="5" t="n"/>
      <c r="E88" s="5" t="n"/>
      <c r="F88" s="10" t="n"/>
      <c r="G88" s="6" t="n"/>
      <c r="H88" s="11">
        <f>IF(F88="","",ROUND(F88*N(G88),2))</f>
        <v/>
      </c>
      <c r="I88" s="11">
        <f>IF(F88="","",F88+H88)</f>
        <v/>
      </c>
      <c r="J88" s="6" t="n"/>
      <c r="K88" s="11">
        <f>IF(F88="","",ROUND(F88*IF(J88="",1,J88),2))</f>
        <v/>
      </c>
      <c r="L88" s="11">
        <f>IF(F88="","",ROUND(H88*IF(J88="",1,J88),2))</f>
        <v/>
      </c>
      <c r="M88" s="12">
        <f>IF(A88="","",ROUNDUP(MONTH(A88)/3,0))</f>
        <v/>
      </c>
      <c r="N88" s="12">
        <f>IF(A88="","",MONTH(A88))</f>
        <v/>
      </c>
    </row>
    <row r="89">
      <c r="A89" s="9" t="n"/>
      <c r="B89" s="5" t="n"/>
      <c r="C89" s="5" t="n"/>
      <c r="D89" s="5" t="n"/>
      <c r="E89" s="5" t="n"/>
      <c r="F89" s="10" t="n"/>
      <c r="G89" s="6" t="n"/>
      <c r="H89" s="11">
        <f>IF(F89="","",ROUND(F89*N(G89),2))</f>
        <v/>
      </c>
      <c r="I89" s="11">
        <f>IF(F89="","",F89+H89)</f>
        <v/>
      </c>
      <c r="J89" s="6" t="n"/>
      <c r="K89" s="11">
        <f>IF(F89="","",ROUND(F89*IF(J89="",1,J89),2))</f>
        <v/>
      </c>
      <c r="L89" s="11">
        <f>IF(F89="","",ROUND(H89*IF(J89="",1,J89),2))</f>
        <v/>
      </c>
      <c r="M89" s="12">
        <f>IF(A89="","",ROUNDUP(MONTH(A89)/3,0))</f>
        <v/>
      </c>
      <c r="N89" s="12">
        <f>IF(A89="","",MONTH(A89))</f>
        <v/>
      </c>
    </row>
    <row r="90">
      <c r="A90" s="9" t="n"/>
      <c r="B90" s="5" t="n"/>
      <c r="C90" s="5" t="n"/>
      <c r="D90" s="5" t="n"/>
      <c r="E90" s="5" t="n"/>
      <c r="F90" s="10" t="n"/>
      <c r="G90" s="6" t="n"/>
      <c r="H90" s="11">
        <f>IF(F90="","",ROUND(F90*N(G90),2))</f>
        <v/>
      </c>
      <c r="I90" s="11">
        <f>IF(F90="","",F90+H90)</f>
        <v/>
      </c>
      <c r="J90" s="6" t="n"/>
      <c r="K90" s="11">
        <f>IF(F90="","",ROUND(F90*IF(J90="",1,J90),2))</f>
        <v/>
      </c>
      <c r="L90" s="11">
        <f>IF(F90="","",ROUND(H90*IF(J90="",1,J90),2))</f>
        <v/>
      </c>
      <c r="M90" s="12">
        <f>IF(A90="","",ROUNDUP(MONTH(A90)/3,0))</f>
        <v/>
      </c>
      <c r="N90" s="12">
        <f>IF(A90="","",MONTH(A90))</f>
        <v/>
      </c>
    </row>
    <row r="91">
      <c r="A91" s="9" t="n"/>
      <c r="B91" s="5" t="n"/>
      <c r="C91" s="5" t="n"/>
      <c r="D91" s="5" t="n"/>
      <c r="E91" s="5" t="n"/>
      <c r="F91" s="10" t="n"/>
      <c r="G91" s="6" t="n"/>
      <c r="H91" s="11">
        <f>IF(F91="","",ROUND(F91*N(G91),2))</f>
        <v/>
      </c>
      <c r="I91" s="11">
        <f>IF(F91="","",F91+H91)</f>
        <v/>
      </c>
      <c r="J91" s="6" t="n"/>
      <c r="K91" s="11">
        <f>IF(F91="","",ROUND(F91*IF(J91="",1,J91),2))</f>
        <v/>
      </c>
      <c r="L91" s="11">
        <f>IF(F91="","",ROUND(H91*IF(J91="",1,J91),2))</f>
        <v/>
      </c>
      <c r="M91" s="12">
        <f>IF(A91="","",ROUNDUP(MONTH(A91)/3,0))</f>
        <v/>
      </c>
      <c r="N91" s="12">
        <f>IF(A91="","",MONTH(A91))</f>
        <v/>
      </c>
    </row>
    <row r="92">
      <c r="A92" s="9" t="n"/>
      <c r="B92" s="5" t="n"/>
      <c r="C92" s="5" t="n"/>
      <c r="D92" s="5" t="n"/>
      <c r="E92" s="5" t="n"/>
      <c r="F92" s="10" t="n"/>
      <c r="G92" s="6" t="n"/>
      <c r="H92" s="11">
        <f>IF(F92="","",ROUND(F92*N(G92),2))</f>
        <v/>
      </c>
      <c r="I92" s="11">
        <f>IF(F92="","",F92+H92)</f>
        <v/>
      </c>
      <c r="J92" s="6" t="n"/>
      <c r="K92" s="11">
        <f>IF(F92="","",ROUND(F92*IF(J92="",1,J92),2))</f>
        <v/>
      </c>
      <c r="L92" s="11">
        <f>IF(F92="","",ROUND(H92*IF(J92="",1,J92),2))</f>
        <v/>
      </c>
      <c r="M92" s="12">
        <f>IF(A92="","",ROUNDUP(MONTH(A92)/3,0))</f>
        <v/>
      </c>
      <c r="N92" s="12">
        <f>IF(A92="","",MONTH(A92))</f>
        <v/>
      </c>
    </row>
    <row r="93">
      <c r="A93" s="9" t="n"/>
      <c r="B93" s="5" t="n"/>
      <c r="C93" s="5" t="n"/>
      <c r="D93" s="5" t="n"/>
      <c r="E93" s="5" t="n"/>
      <c r="F93" s="10" t="n"/>
      <c r="G93" s="6" t="n"/>
      <c r="H93" s="11">
        <f>IF(F93="","",ROUND(F93*N(G93),2))</f>
        <v/>
      </c>
      <c r="I93" s="11">
        <f>IF(F93="","",F93+H93)</f>
        <v/>
      </c>
      <c r="J93" s="6" t="n"/>
      <c r="K93" s="11">
        <f>IF(F93="","",ROUND(F93*IF(J93="",1,J93),2))</f>
        <v/>
      </c>
      <c r="L93" s="11">
        <f>IF(F93="","",ROUND(H93*IF(J93="",1,J93),2))</f>
        <v/>
      </c>
      <c r="M93" s="12">
        <f>IF(A93="","",ROUNDUP(MONTH(A93)/3,0))</f>
        <v/>
      </c>
      <c r="N93" s="12">
        <f>IF(A93="","",MONTH(A93))</f>
        <v/>
      </c>
    </row>
    <row r="94">
      <c r="A94" s="9" t="n"/>
      <c r="B94" s="5" t="n"/>
      <c r="C94" s="5" t="n"/>
      <c r="D94" s="5" t="n"/>
      <c r="E94" s="5" t="n"/>
      <c r="F94" s="10" t="n"/>
      <c r="G94" s="6" t="n"/>
      <c r="H94" s="11">
        <f>IF(F94="","",ROUND(F94*N(G94),2))</f>
        <v/>
      </c>
      <c r="I94" s="11">
        <f>IF(F94="","",F94+H94)</f>
        <v/>
      </c>
      <c r="J94" s="6" t="n"/>
      <c r="K94" s="11">
        <f>IF(F94="","",ROUND(F94*IF(J94="",1,J94),2))</f>
        <v/>
      </c>
      <c r="L94" s="11">
        <f>IF(F94="","",ROUND(H94*IF(J94="",1,J94),2))</f>
        <v/>
      </c>
      <c r="M94" s="12">
        <f>IF(A94="","",ROUNDUP(MONTH(A94)/3,0))</f>
        <v/>
      </c>
      <c r="N94" s="12">
        <f>IF(A94="","",MONTH(A94))</f>
        <v/>
      </c>
    </row>
    <row r="95">
      <c r="A95" s="9" t="n"/>
      <c r="B95" s="5" t="n"/>
      <c r="C95" s="5" t="n"/>
      <c r="D95" s="5" t="n"/>
      <c r="E95" s="5" t="n"/>
      <c r="F95" s="10" t="n"/>
      <c r="G95" s="6" t="n"/>
      <c r="H95" s="11">
        <f>IF(F95="","",ROUND(F95*N(G95),2))</f>
        <v/>
      </c>
      <c r="I95" s="11">
        <f>IF(F95="","",F95+H95)</f>
        <v/>
      </c>
      <c r="J95" s="6" t="n"/>
      <c r="K95" s="11">
        <f>IF(F95="","",ROUND(F95*IF(J95="",1,J95),2))</f>
        <v/>
      </c>
      <c r="L95" s="11">
        <f>IF(F95="","",ROUND(H95*IF(J95="",1,J95),2))</f>
        <v/>
      </c>
      <c r="M95" s="12">
        <f>IF(A95="","",ROUNDUP(MONTH(A95)/3,0))</f>
        <v/>
      </c>
      <c r="N95" s="12">
        <f>IF(A95="","",MONTH(A95))</f>
        <v/>
      </c>
    </row>
    <row r="96">
      <c r="A96" s="9" t="n"/>
      <c r="B96" s="5" t="n"/>
      <c r="C96" s="5" t="n"/>
      <c r="D96" s="5" t="n"/>
      <c r="E96" s="5" t="n"/>
      <c r="F96" s="10" t="n"/>
      <c r="G96" s="6" t="n"/>
      <c r="H96" s="11">
        <f>IF(F96="","",ROUND(F96*N(G96),2))</f>
        <v/>
      </c>
      <c r="I96" s="11">
        <f>IF(F96="","",F96+H96)</f>
        <v/>
      </c>
      <c r="J96" s="6" t="n"/>
      <c r="K96" s="11">
        <f>IF(F96="","",ROUND(F96*IF(J96="",1,J96),2))</f>
        <v/>
      </c>
      <c r="L96" s="11">
        <f>IF(F96="","",ROUND(H96*IF(J96="",1,J96),2))</f>
        <v/>
      </c>
      <c r="M96" s="12">
        <f>IF(A96="","",ROUNDUP(MONTH(A96)/3,0))</f>
        <v/>
      </c>
      <c r="N96" s="12">
        <f>IF(A96="","",MONTH(A96))</f>
        <v/>
      </c>
    </row>
    <row r="97">
      <c r="A97" s="9" t="n"/>
      <c r="B97" s="5" t="n"/>
      <c r="C97" s="5" t="n"/>
      <c r="D97" s="5" t="n"/>
      <c r="E97" s="5" t="n"/>
      <c r="F97" s="10" t="n"/>
      <c r="G97" s="6" t="n"/>
      <c r="H97" s="11">
        <f>IF(F97="","",ROUND(F97*N(G97),2))</f>
        <v/>
      </c>
      <c r="I97" s="11">
        <f>IF(F97="","",F97+H97)</f>
        <v/>
      </c>
      <c r="J97" s="6" t="n"/>
      <c r="K97" s="11">
        <f>IF(F97="","",ROUND(F97*IF(J97="",1,J97),2))</f>
        <v/>
      </c>
      <c r="L97" s="11">
        <f>IF(F97="","",ROUND(H97*IF(J97="",1,J97),2))</f>
        <v/>
      </c>
      <c r="M97" s="12">
        <f>IF(A97="","",ROUNDUP(MONTH(A97)/3,0))</f>
        <v/>
      </c>
      <c r="N97" s="12">
        <f>IF(A97="","",MONTH(A97))</f>
        <v/>
      </c>
    </row>
    <row r="98">
      <c r="A98" s="9" t="n"/>
      <c r="B98" s="5" t="n"/>
      <c r="C98" s="5" t="n"/>
      <c r="D98" s="5" t="n"/>
      <c r="E98" s="5" t="n"/>
      <c r="F98" s="10" t="n"/>
      <c r="G98" s="6" t="n"/>
      <c r="H98" s="11">
        <f>IF(F98="","",ROUND(F98*N(G98),2))</f>
        <v/>
      </c>
      <c r="I98" s="11">
        <f>IF(F98="","",F98+H98)</f>
        <v/>
      </c>
      <c r="J98" s="6" t="n"/>
      <c r="K98" s="11">
        <f>IF(F98="","",ROUND(F98*IF(J98="",1,J98),2))</f>
        <v/>
      </c>
      <c r="L98" s="11">
        <f>IF(F98="","",ROUND(H98*IF(J98="",1,J98),2))</f>
        <v/>
      </c>
      <c r="M98" s="12">
        <f>IF(A98="","",ROUNDUP(MONTH(A98)/3,0))</f>
        <v/>
      </c>
      <c r="N98" s="12">
        <f>IF(A98="","",MONTH(A98))</f>
        <v/>
      </c>
    </row>
    <row r="99">
      <c r="A99" s="9" t="n"/>
      <c r="B99" s="5" t="n"/>
      <c r="C99" s="5" t="n"/>
      <c r="D99" s="5" t="n"/>
      <c r="E99" s="5" t="n"/>
      <c r="F99" s="10" t="n"/>
      <c r="G99" s="6" t="n"/>
      <c r="H99" s="11">
        <f>IF(F99="","",ROUND(F99*N(G99),2))</f>
        <v/>
      </c>
      <c r="I99" s="11">
        <f>IF(F99="","",F99+H99)</f>
        <v/>
      </c>
      <c r="J99" s="6" t="n"/>
      <c r="K99" s="11">
        <f>IF(F99="","",ROUND(F99*IF(J99="",1,J99),2))</f>
        <v/>
      </c>
      <c r="L99" s="11">
        <f>IF(F99="","",ROUND(H99*IF(J99="",1,J99),2))</f>
        <v/>
      </c>
      <c r="M99" s="12">
        <f>IF(A99="","",ROUNDUP(MONTH(A99)/3,0))</f>
        <v/>
      </c>
      <c r="N99" s="12">
        <f>IF(A99="","",MONTH(A99))</f>
        <v/>
      </c>
    </row>
    <row r="100">
      <c r="A100" s="9" t="n"/>
      <c r="B100" s="5" t="n"/>
      <c r="C100" s="5" t="n"/>
      <c r="D100" s="5" t="n"/>
      <c r="E100" s="5" t="n"/>
      <c r="F100" s="10" t="n"/>
      <c r="G100" s="6" t="n"/>
      <c r="H100" s="11">
        <f>IF(F100="","",ROUND(F100*N(G100),2))</f>
        <v/>
      </c>
      <c r="I100" s="11">
        <f>IF(F100="","",F100+H100)</f>
        <v/>
      </c>
      <c r="J100" s="6" t="n"/>
      <c r="K100" s="11">
        <f>IF(F100="","",ROUND(F100*IF(J100="",1,J100),2))</f>
        <v/>
      </c>
      <c r="L100" s="11">
        <f>IF(F100="","",ROUND(H100*IF(J100="",1,J100),2))</f>
        <v/>
      </c>
      <c r="M100" s="12">
        <f>IF(A100="","",ROUNDUP(MONTH(A100)/3,0))</f>
        <v/>
      </c>
      <c r="N100" s="12">
        <f>IF(A100="","",MONTH(A100))</f>
        <v/>
      </c>
    </row>
    <row r="101">
      <c r="A101" s="9" t="n"/>
      <c r="B101" s="5" t="n"/>
      <c r="C101" s="5" t="n"/>
      <c r="D101" s="5" t="n"/>
      <c r="E101" s="5" t="n"/>
      <c r="F101" s="10" t="n"/>
      <c r="G101" s="6" t="n"/>
      <c r="H101" s="11">
        <f>IF(F101="","",ROUND(F101*N(G101),2))</f>
        <v/>
      </c>
      <c r="I101" s="11">
        <f>IF(F101="","",F101+H101)</f>
        <v/>
      </c>
      <c r="J101" s="6" t="n"/>
      <c r="K101" s="11">
        <f>IF(F101="","",ROUND(F101*IF(J101="",1,J101),2))</f>
        <v/>
      </c>
      <c r="L101" s="11">
        <f>IF(F101="","",ROUND(H101*IF(J101="",1,J101),2))</f>
        <v/>
      </c>
      <c r="M101" s="12">
        <f>IF(A101="","",ROUNDUP(MONTH(A101)/3,0))</f>
        <v/>
      </c>
      <c r="N101" s="12">
        <f>IF(A101="","",MONTH(A101))</f>
        <v/>
      </c>
    </row>
    <row r="102">
      <c r="A102" s="9" t="n"/>
      <c r="B102" s="5" t="n"/>
      <c r="C102" s="5" t="n"/>
      <c r="D102" s="5" t="n"/>
      <c r="E102" s="5" t="n"/>
      <c r="F102" s="10" t="n"/>
      <c r="G102" s="6" t="n"/>
      <c r="H102" s="11">
        <f>IF(F102="","",ROUND(F102*N(G102),2))</f>
        <v/>
      </c>
      <c r="I102" s="11">
        <f>IF(F102="","",F102+H102)</f>
        <v/>
      </c>
      <c r="J102" s="6" t="n"/>
      <c r="K102" s="11">
        <f>IF(F102="","",ROUND(F102*IF(J102="",1,J102),2))</f>
        <v/>
      </c>
      <c r="L102" s="11">
        <f>IF(F102="","",ROUND(H102*IF(J102="",1,J102),2))</f>
        <v/>
      </c>
      <c r="M102" s="12">
        <f>IF(A102="","",ROUNDUP(MONTH(A102)/3,0))</f>
        <v/>
      </c>
      <c r="N102" s="12">
        <f>IF(A102="","",MONTH(A102))</f>
        <v/>
      </c>
    </row>
    <row r="103">
      <c r="A103" s="9" t="n"/>
      <c r="B103" s="5" t="n"/>
      <c r="C103" s="5" t="n"/>
      <c r="D103" s="5" t="n"/>
      <c r="E103" s="5" t="n"/>
      <c r="F103" s="10" t="n"/>
      <c r="G103" s="6" t="n"/>
      <c r="H103" s="11">
        <f>IF(F103="","",ROUND(F103*N(G103),2))</f>
        <v/>
      </c>
      <c r="I103" s="11">
        <f>IF(F103="","",F103+H103)</f>
        <v/>
      </c>
      <c r="J103" s="6" t="n"/>
      <c r="K103" s="11">
        <f>IF(F103="","",ROUND(F103*IF(J103="",1,J103),2))</f>
        <v/>
      </c>
      <c r="L103" s="11">
        <f>IF(F103="","",ROUND(H103*IF(J103="",1,J103),2))</f>
        <v/>
      </c>
      <c r="M103" s="12">
        <f>IF(A103="","",ROUNDUP(MONTH(A103)/3,0))</f>
        <v/>
      </c>
      <c r="N103" s="12">
        <f>IF(A103="","",MONTH(A103))</f>
        <v/>
      </c>
    </row>
    <row r="104">
      <c r="A104" s="9" t="n"/>
      <c r="B104" s="5" t="n"/>
      <c r="C104" s="5" t="n"/>
      <c r="D104" s="5" t="n"/>
      <c r="E104" s="5" t="n"/>
      <c r="F104" s="10" t="n"/>
      <c r="G104" s="6" t="n"/>
      <c r="H104" s="11">
        <f>IF(F104="","",ROUND(F104*N(G104),2))</f>
        <v/>
      </c>
      <c r="I104" s="11">
        <f>IF(F104="","",F104+H104)</f>
        <v/>
      </c>
      <c r="J104" s="6" t="n"/>
      <c r="K104" s="11">
        <f>IF(F104="","",ROUND(F104*IF(J104="",1,J104),2))</f>
        <v/>
      </c>
      <c r="L104" s="11">
        <f>IF(F104="","",ROUND(H104*IF(J104="",1,J104),2))</f>
        <v/>
      </c>
      <c r="M104" s="12">
        <f>IF(A104="","",ROUNDUP(MONTH(A104)/3,0))</f>
        <v/>
      </c>
      <c r="N104" s="12">
        <f>IF(A104="","",MONTH(A104))</f>
        <v/>
      </c>
    </row>
    <row r="105">
      <c r="A105" s="9" t="n"/>
      <c r="B105" s="5" t="n"/>
      <c r="C105" s="5" t="n"/>
      <c r="D105" s="5" t="n"/>
      <c r="E105" s="5" t="n"/>
      <c r="F105" s="10" t="n"/>
      <c r="G105" s="6" t="n"/>
      <c r="H105" s="11">
        <f>IF(F105="","",ROUND(F105*N(G105),2))</f>
        <v/>
      </c>
      <c r="I105" s="11">
        <f>IF(F105="","",F105+H105)</f>
        <v/>
      </c>
      <c r="J105" s="6" t="n"/>
      <c r="K105" s="11">
        <f>IF(F105="","",ROUND(F105*IF(J105="",1,J105),2))</f>
        <v/>
      </c>
      <c r="L105" s="11">
        <f>IF(F105="","",ROUND(H105*IF(J105="",1,J105),2))</f>
        <v/>
      </c>
      <c r="M105" s="12">
        <f>IF(A105="","",ROUNDUP(MONTH(A105)/3,0))</f>
        <v/>
      </c>
      <c r="N105" s="12">
        <f>IF(A105="","",MONTH(A105))</f>
        <v/>
      </c>
    </row>
    <row r="106">
      <c r="A106" s="9" t="n"/>
      <c r="B106" s="5" t="n"/>
      <c r="C106" s="5" t="n"/>
      <c r="D106" s="5" t="n"/>
      <c r="E106" s="5" t="n"/>
      <c r="F106" s="10" t="n"/>
      <c r="G106" s="6" t="n"/>
      <c r="H106" s="11">
        <f>IF(F106="","",ROUND(F106*N(G106),2))</f>
        <v/>
      </c>
      <c r="I106" s="11">
        <f>IF(F106="","",F106+H106)</f>
        <v/>
      </c>
      <c r="J106" s="6" t="n"/>
      <c r="K106" s="11">
        <f>IF(F106="","",ROUND(F106*IF(J106="",1,J106),2))</f>
        <v/>
      </c>
      <c r="L106" s="11">
        <f>IF(F106="","",ROUND(H106*IF(J106="",1,J106),2))</f>
        <v/>
      </c>
      <c r="M106" s="12">
        <f>IF(A106="","",ROUNDUP(MONTH(A106)/3,0))</f>
        <v/>
      </c>
      <c r="N106" s="12">
        <f>IF(A106="","",MONTH(A106))</f>
        <v/>
      </c>
    </row>
    <row r="107">
      <c r="A107" s="9" t="n"/>
      <c r="B107" s="5" t="n"/>
      <c r="C107" s="5" t="n"/>
      <c r="D107" s="5" t="n"/>
      <c r="E107" s="5" t="n"/>
      <c r="F107" s="10" t="n"/>
      <c r="G107" s="6" t="n"/>
      <c r="H107" s="11">
        <f>IF(F107="","",ROUND(F107*N(G107),2))</f>
        <v/>
      </c>
      <c r="I107" s="11">
        <f>IF(F107="","",F107+H107)</f>
        <v/>
      </c>
      <c r="J107" s="6" t="n"/>
      <c r="K107" s="11">
        <f>IF(F107="","",ROUND(F107*IF(J107="",1,J107),2))</f>
        <v/>
      </c>
      <c r="L107" s="11">
        <f>IF(F107="","",ROUND(H107*IF(J107="",1,J107),2))</f>
        <v/>
      </c>
      <c r="M107" s="12">
        <f>IF(A107="","",ROUNDUP(MONTH(A107)/3,0))</f>
        <v/>
      </c>
      <c r="N107" s="12">
        <f>IF(A107="","",MONTH(A107))</f>
        <v/>
      </c>
    </row>
    <row r="108">
      <c r="A108" s="9" t="n"/>
      <c r="B108" s="5" t="n"/>
      <c r="C108" s="5" t="n"/>
      <c r="D108" s="5" t="n"/>
      <c r="E108" s="5" t="n"/>
      <c r="F108" s="10" t="n"/>
      <c r="G108" s="6" t="n"/>
      <c r="H108" s="11">
        <f>IF(F108="","",ROUND(F108*N(G108),2))</f>
        <v/>
      </c>
      <c r="I108" s="11">
        <f>IF(F108="","",F108+H108)</f>
        <v/>
      </c>
      <c r="J108" s="6" t="n"/>
      <c r="K108" s="11">
        <f>IF(F108="","",ROUND(F108*IF(J108="",1,J108),2))</f>
        <v/>
      </c>
      <c r="L108" s="11">
        <f>IF(F108="","",ROUND(H108*IF(J108="",1,J108),2))</f>
        <v/>
      </c>
      <c r="M108" s="12">
        <f>IF(A108="","",ROUNDUP(MONTH(A108)/3,0))</f>
        <v/>
      </c>
      <c r="N108" s="12">
        <f>IF(A108="","",MONTH(A108))</f>
        <v/>
      </c>
    </row>
    <row r="109">
      <c r="A109" s="9" t="n"/>
      <c r="B109" s="5" t="n"/>
      <c r="C109" s="5" t="n"/>
      <c r="D109" s="5" t="n"/>
      <c r="E109" s="5" t="n"/>
      <c r="F109" s="10" t="n"/>
      <c r="G109" s="6" t="n"/>
      <c r="H109" s="11">
        <f>IF(F109="","",ROUND(F109*N(G109),2))</f>
        <v/>
      </c>
      <c r="I109" s="11">
        <f>IF(F109="","",F109+H109)</f>
        <v/>
      </c>
      <c r="J109" s="6" t="n"/>
      <c r="K109" s="11">
        <f>IF(F109="","",ROUND(F109*IF(J109="",1,J109),2))</f>
        <v/>
      </c>
      <c r="L109" s="11">
        <f>IF(F109="","",ROUND(H109*IF(J109="",1,J109),2))</f>
        <v/>
      </c>
      <c r="M109" s="12">
        <f>IF(A109="","",ROUNDUP(MONTH(A109)/3,0))</f>
        <v/>
      </c>
      <c r="N109" s="12">
        <f>IF(A109="","",MONTH(A109))</f>
        <v/>
      </c>
    </row>
    <row r="110">
      <c r="A110" s="9" t="n"/>
      <c r="B110" s="5" t="n"/>
      <c r="C110" s="5" t="n"/>
      <c r="D110" s="5" t="n"/>
      <c r="E110" s="5" t="n"/>
      <c r="F110" s="10" t="n"/>
      <c r="G110" s="6" t="n"/>
      <c r="H110" s="11">
        <f>IF(F110="","",ROUND(F110*N(G110),2))</f>
        <v/>
      </c>
      <c r="I110" s="11">
        <f>IF(F110="","",F110+H110)</f>
        <v/>
      </c>
      <c r="J110" s="6" t="n"/>
      <c r="K110" s="11">
        <f>IF(F110="","",ROUND(F110*IF(J110="",1,J110),2))</f>
        <v/>
      </c>
      <c r="L110" s="11">
        <f>IF(F110="","",ROUND(H110*IF(J110="",1,J110),2))</f>
        <v/>
      </c>
      <c r="M110" s="12">
        <f>IF(A110="","",ROUNDUP(MONTH(A110)/3,0))</f>
        <v/>
      </c>
      <c r="N110" s="12">
        <f>IF(A110="","",MONTH(A110))</f>
        <v/>
      </c>
    </row>
    <row r="111">
      <c r="A111" s="9" t="n"/>
      <c r="B111" s="5" t="n"/>
      <c r="C111" s="5" t="n"/>
      <c r="D111" s="5" t="n"/>
      <c r="E111" s="5" t="n"/>
      <c r="F111" s="10" t="n"/>
      <c r="G111" s="6" t="n"/>
      <c r="H111" s="11">
        <f>IF(F111="","",ROUND(F111*N(G111),2))</f>
        <v/>
      </c>
      <c r="I111" s="11">
        <f>IF(F111="","",F111+H111)</f>
        <v/>
      </c>
      <c r="J111" s="6" t="n"/>
      <c r="K111" s="11">
        <f>IF(F111="","",ROUND(F111*IF(J111="",1,J111),2))</f>
        <v/>
      </c>
      <c r="L111" s="11">
        <f>IF(F111="","",ROUND(H111*IF(J111="",1,J111),2))</f>
        <v/>
      </c>
      <c r="M111" s="12">
        <f>IF(A111="","",ROUNDUP(MONTH(A111)/3,0))</f>
        <v/>
      </c>
      <c r="N111" s="12">
        <f>IF(A111="","",MONTH(A111))</f>
        <v/>
      </c>
    </row>
    <row r="112">
      <c r="A112" s="9" t="n"/>
      <c r="B112" s="5" t="n"/>
      <c r="C112" s="5" t="n"/>
      <c r="D112" s="5" t="n"/>
      <c r="E112" s="5" t="n"/>
      <c r="F112" s="10" t="n"/>
      <c r="G112" s="6" t="n"/>
      <c r="H112" s="11">
        <f>IF(F112="","",ROUND(F112*N(G112),2))</f>
        <v/>
      </c>
      <c r="I112" s="11">
        <f>IF(F112="","",F112+H112)</f>
        <v/>
      </c>
      <c r="J112" s="6" t="n"/>
      <c r="K112" s="11">
        <f>IF(F112="","",ROUND(F112*IF(J112="",1,J112),2))</f>
        <v/>
      </c>
      <c r="L112" s="11">
        <f>IF(F112="","",ROUND(H112*IF(J112="",1,J112),2))</f>
        <v/>
      </c>
      <c r="M112" s="12">
        <f>IF(A112="","",ROUNDUP(MONTH(A112)/3,0))</f>
        <v/>
      </c>
      <c r="N112" s="12">
        <f>IF(A112="","",MONTH(A112))</f>
        <v/>
      </c>
    </row>
    <row r="113">
      <c r="A113" s="9" t="n"/>
      <c r="B113" s="5" t="n"/>
      <c r="C113" s="5" t="n"/>
      <c r="D113" s="5" t="n"/>
      <c r="E113" s="5" t="n"/>
      <c r="F113" s="10" t="n"/>
      <c r="G113" s="6" t="n"/>
      <c r="H113" s="11">
        <f>IF(F113="","",ROUND(F113*N(G113),2))</f>
        <v/>
      </c>
      <c r="I113" s="11">
        <f>IF(F113="","",F113+H113)</f>
        <v/>
      </c>
      <c r="J113" s="6" t="n"/>
      <c r="K113" s="11">
        <f>IF(F113="","",ROUND(F113*IF(J113="",1,J113),2))</f>
        <v/>
      </c>
      <c r="L113" s="11">
        <f>IF(F113="","",ROUND(H113*IF(J113="",1,J113),2))</f>
        <v/>
      </c>
      <c r="M113" s="12">
        <f>IF(A113="","",ROUNDUP(MONTH(A113)/3,0))</f>
        <v/>
      </c>
      <c r="N113" s="12">
        <f>IF(A113="","",MONTH(A113))</f>
        <v/>
      </c>
    </row>
    <row r="114">
      <c r="A114" s="9" t="n"/>
      <c r="B114" s="5" t="n"/>
      <c r="C114" s="5" t="n"/>
      <c r="D114" s="5" t="n"/>
      <c r="E114" s="5" t="n"/>
      <c r="F114" s="10" t="n"/>
      <c r="G114" s="6" t="n"/>
      <c r="H114" s="11">
        <f>IF(F114="","",ROUND(F114*N(G114),2))</f>
        <v/>
      </c>
      <c r="I114" s="11">
        <f>IF(F114="","",F114+H114)</f>
        <v/>
      </c>
      <c r="J114" s="6" t="n"/>
      <c r="K114" s="11">
        <f>IF(F114="","",ROUND(F114*IF(J114="",1,J114),2))</f>
        <v/>
      </c>
      <c r="L114" s="11">
        <f>IF(F114="","",ROUND(H114*IF(J114="",1,J114),2))</f>
        <v/>
      </c>
      <c r="M114" s="12">
        <f>IF(A114="","",ROUNDUP(MONTH(A114)/3,0))</f>
        <v/>
      </c>
      <c r="N114" s="12">
        <f>IF(A114="","",MONTH(A114))</f>
        <v/>
      </c>
    </row>
    <row r="115">
      <c r="A115" s="9" t="n"/>
      <c r="B115" s="5" t="n"/>
      <c r="C115" s="5" t="n"/>
      <c r="D115" s="5" t="n"/>
      <c r="E115" s="5" t="n"/>
      <c r="F115" s="10" t="n"/>
      <c r="G115" s="6" t="n"/>
      <c r="H115" s="11">
        <f>IF(F115="","",ROUND(F115*N(G115),2))</f>
        <v/>
      </c>
      <c r="I115" s="11">
        <f>IF(F115="","",F115+H115)</f>
        <v/>
      </c>
      <c r="J115" s="6" t="n"/>
      <c r="K115" s="11">
        <f>IF(F115="","",ROUND(F115*IF(J115="",1,J115),2))</f>
        <v/>
      </c>
      <c r="L115" s="11">
        <f>IF(F115="","",ROUND(H115*IF(J115="",1,J115),2))</f>
        <v/>
      </c>
      <c r="M115" s="12">
        <f>IF(A115="","",ROUNDUP(MONTH(A115)/3,0))</f>
        <v/>
      </c>
      <c r="N115" s="12">
        <f>IF(A115="","",MONTH(A115))</f>
        <v/>
      </c>
    </row>
    <row r="116">
      <c r="A116" s="9" t="n"/>
      <c r="B116" s="5" t="n"/>
      <c r="C116" s="5" t="n"/>
      <c r="D116" s="5" t="n"/>
      <c r="E116" s="5" t="n"/>
      <c r="F116" s="10" t="n"/>
      <c r="G116" s="6" t="n"/>
      <c r="H116" s="11">
        <f>IF(F116="","",ROUND(F116*N(G116),2))</f>
        <v/>
      </c>
      <c r="I116" s="11">
        <f>IF(F116="","",F116+H116)</f>
        <v/>
      </c>
      <c r="J116" s="6" t="n"/>
      <c r="K116" s="11">
        <f>IF(F116="","",ROUND(F116*IF(J116="",1,J116),2))</f>
        <v/>
      </c>
      <c r="L116" s="11">
        <f>IF(F116="","",ROUND(H116*IF(J116="",1,J116),2))</f>
        <v/>
      </c>
      <c r="M116" s="12">
        <f>IF(A116="","",ROUNDUP(MONTH(A116)/3,0))</f>
        <v/>
      </c>
      <c r="N116" s="12">
        <f>IF(A116="","",MONTH(A116))</f>
        <v/>
      </c>
    </row>
    <row r="117">
      <c r="A117" s="9" t="n"/>
      <c r="B117" s="5" t="n"/>
      <c r="C117" s="5" t="n"/>
      <c r="D117" s="5" t="n"/>
      <c r="E117" s="5" t="n"/>
      <c r="F117" s="10" t="n"/>
      <c r="G117" s="6" t="n"/>
      <c r="H117" s="11">
        <f>IF(F117="","",ROUND(F117*N(G117),2))</f>
        <v/>
      </c>
      <c r="I117" s="11">
        <f>IF(F117="","",F117+H117)</f>
        <v/>
      </c>
      <c r="J117" s="6" t="n"/>
      <c r="K117" s="11">
        <f>IF(F117="","",ROUND(F117*IF(J117="",1,J117),2))</f>
        <v/>
      </c>
      <c r="L117" s="11">
        <f>IF(F117="","",ROUND(H117*IF(J117="",1,J117),2))</f>
        <v/>
      </c>
      <c r="M117" s="12">
        <f>IF(A117="","",ROUNDUP(MONTH(A117)/3,0))</f>
        <v/>
      </c>
      <c r="N117" s="12">
        <f>IF(A117="","",MONTH(A117))</f>
        <v/>
      </c>
    </row>
    <row r="118">
      <c r="A118" s="9" t="n"/>
      <c r="B118" s="5" t="n"/>
      <c r="C118" s="5" t="n"/>
      <c r="D118" s="5" t="n"/>
      <c r="E118" s="5" t="n"/>
      <c r="F118" s="10" t="n"/>
      <c r="G118" s="6" t="n"/>
      <c r="H118" s="11">
        <f>IF(F118="","",ROUND(F118*N(G118),2))</f>
        <v/>
      </c>
      <c r="I118" s="11">
        <f>IF(F118="","",F118+H118)</f>
        <v/>
      </c>
      <c r="J118" s="6" t="n"/>
      <c r="K118" s="11">
        <f>IF(F118="","",ROUND(F118*IF(J118="",1,J118),2))</f>
        <v/>
      </c>
      <c r="L118" s="11">
        <f>IF(F118="","",ROUND(H118*IF(J118="",1,J118),2))</f>
        <v/>
      </c>
      <c r="M118" s="12">
        <f>IF(A118="","",ROUNDUP(MONTH(A118)/3,0))</f>
        <v/>
      </c>
      <c r="N118" s="12">
        <f>IF(A118="","",MONTH(A118))</f>
        <v/>
      </c>
    </row>
    <row r="119">
      <c r="A119" s="9" t="n"/>
      <c r="B119" s="5" t="n"/>
      <c r="C119" s="5" t="n"/>
      <c r="D119" s="5" t="n"/>
      <c r="E119" s="5" t="n"/>
      <c r="F119" s="10" t="n"/>
      <c r="G119" s="6" t="n"/>
      <c r="H119" s="11">
        <f>IF(F119="","",ROUND(F119*N(G119),2))</f>
        <v/>
      </c>
      <c r="I119" s="11">
        <f>IF(F119="","",F119+H119)</f>
        <v/>
      </c>
      <c r="J119" s="6" t="n"/>
      <c r="K119" s="11">
        <f>IF(F119="","",ROUND(F119*IF(J119="",1,J119),2))</f>
        <v/>
      </c>
      <c r="L119" s="11">
        <f>IF(F119="","",ROUND(H119*IF(J119="",1,J119),2))</f>
        <v/>
      </c>
      <c r="M119" s="12">
        <f>IF(A119="","",ROUNDUP(MONTH(A119)/3,0))</f>
        <v/>
      </c>
      <c r="N119" s="12">
        <f>IF(A119="","",MONTH(A119))</f>
        <v/>
      </c>
    </row>
    <row r="120">
      <c r="A120" s="9" t="n"/>
      <c r="B120" s="5" t="n"/>
      <c r="C120" s="5" t="n"/>
      <c r="D120" s="5" t="n"/>
      <c r="E120" s="5" t="n"/>
      <c r="F120" s="10" t="n"/>
      <c r="G120" s="6" t="n"/>
      <c r="H120" s="11">
        <f>IF(F120="","",ROUND(F120*N(G120),2))</f>
        <v/>
      </c>
      <c r="I120" s="11">
        <f>IF(F120="","",F120+H120)</f>
        <v/>
      </c>
      <c r="J120" s="6" t="n"/>
      <c r="K120" s="11">
        <f>IF(F120="","",ROUND(F120*IF(J120="",1,J120),2))</f>
        <v/>
      </c>
      <c r="L120" s="11">
        <f>IF(F120="","",ROUND(H120*IF(J120="",1,J120),2))</f>
        <v/>
      </c>
      <c r="M120" s="12">
        <f>IF(A120="","",ROUNDUP(MONTH(A120)/3,0))</f>
        <v/>
      </c>
      <c r="N120" s="12">
        <f>IF(A120="","",MONTH(A120))</f>
        <v/>
      </c>
    </row>
    <row r="121">
      <c r="A121" s="9" t="n"/>
      <c r="B121" s="5" t="n"/>
      <c r="C121" s="5" t="n"/>
      <c r="D121" s="5" t="n"/>
      <c r="E121" s="5" t="n"/>
      <c r="F121" s="10" t="n"/>
      <c r="G121" s="6" t="n"/>
      <c r="H121" s="11">
        <f>IF(F121="","",ROUND(F121*N(G121),2))</f>
        <v/>
      </c>
      <c r="I121" s="11">
        <f>IF(F121="","",F121+H121)</f>
        <v/>
      </c>
      <c r="J121" s="6" t="n"/>
      <c r="K121" s="11">
        <f>IF(F121="","",ROUND(F121*IF(J121="",1,J121),2))</f>
        <v/>
      </c>
      <c r="L121" s="11">
        <f>IF(F121="","",ROUND(H121*IF(J121="",1,J121),2))</f>
        <v/>
      </c>
      <c r="M121" s="12">
        <f>IF(A121="","",ROUNDUP(MONTH(A121)/3,0))</f>
        <v/>
      </c>
      <c r="N121" s="12">
        <f>IF(A121="","",MONTH(A121))</f>
        <v/>
      </c>
    </row>
    <row r="122">
      <c r="A122" s="9" t="n"/>
      <c r="B122" s="5" t="n"/>
      <c r="C122" s="5" t="n"/>
      <c r="D122" s="5" t="n"/>
      <c r="E122" s="5" t="n"/>
      <c r="F122" s="10" t="n"/>
      <c r="G122" s="6" t="n"/>
      <c r="H122" s="11">
        <f>IF(F122="","",ROUND(F122*N(G122),2))</f>
        <v/>
      </c>
      <c r="I122" s="11">
        <f>IF(F122="","",F122+H122)</f>
        <v/>
      </c>
      <c r="J122" s="6" t="n"/>
      <c r="K122" s="11">
        <f>IF(F122="","",ROUND(F122*IF(J122="",1,J122),2))</f>
        <v/>
      </c>
      <c r="L122" s="11">
        <f>IF(F122="","",ROUND(H122*IF(J122="",1,J122),2))</f>
        <v/>
      </c>
      <c r="M122" s="12">
        <f>IF(A122="","",ROUNDUP(MONTH(A122)/3,0))</f>
        <v/>
      </c>
      <c r="N122" s="12">
        <f>IF(A122="","",MONTH(A122))</f>
        <v/>
      </c>
    </row>
    <row r="123">
      <c r="A123" s="9" t="n"/>
      <c r="B123" s="5" t="n"/>
      <c r="C123" s="5" t="n"/>
      <c r="D123" s="5" t="n"/>
      <c r="E123" s="5" t="n"/>
      <c r="F123" s="10" t="n"/>
      <c r="G123" s="6" t="n"/>
      <c r="H123" s="11">
        <f>IF(F123="","",ROUND(F123*N(G123),2))</f>
        <v/>
      </c>
      <c r="I123" s="11">
        <f>IF(F123="","",F123+H123)</f>
        <v/>
      </c>
      <c r="J123" s="6" t="n"/>
      <c r="K123" s="11">
        <f>IF(F123="","",ROUND(F123*IF(J123="",1,J123),2))</f>
        <v/>
      </c>
      <c r="L123" s="11">
        <f>IF(F123="","",ROUND(H123*IF(J123="",1,J123),2))</f>
        <v/>
      </c>
      <c r="M123" s="12">
        <f>IF(A123="","",ROUNDUP(MONTH(A123)/3,0))</f>
        <v/>
      </c>
      <c r="N123" s="12">
        <f>IF(A123="","",MONTH(A123))</f>
        <v/>
      </c>
    </row>
    <row r="124">
      <c r="A124" s="9" t="n"/>
      <c r="B124" s="5" t="n"/>
      <c r="C124" s="5" t="n"/>
      <c r="D124" s="5" t="n"/>
      <c r="E124" s="5" t="n"/>
      <c r="F124" s="10" t="n"/>
      <c r="G124" s="6" t="n"/>
      <c r="H124" s="11">
        <f>IF(F124="","",ROUND(F124*N(G124),2))</f>
        <v/>
      </c>
      <c r="I124" s="11">
        <f>IF(F124="","",F124+H124)</f>
        <v/>
      </c>
      <c r="J124" s="6" t="n"/>
      <c r="K124" s="11">
        <f>IF(F124="","",ROUND(F124*IF(J124="",1,J124),2))</f>
        <v/>
      </c>
      <c r="L124" s="11">
        <f>IF(F124="","",ROUND(H124*IF(J124="",1,J124),2))</f>
        <v/>
      </c>
      <c r="M124" s="12">
        <f>IF(A124="","",ROUNDUP(MONTH(A124)/3,0))</f>
        <v/>
      </c>
      <c r="N124" s="12">
        <f>IF(A124="","",MONTH(A124))</f>
        <v/>
      </c>
    </row>
    <row r="125">
      <c r="A125" s="9" t="n"/>
      <c r="B125" s="5" t="n"/>
      <c r="C125" s="5" t="n"/>
      <c r="D125" s="5" t="n"/>
      <c r="E125" s="5" t="n"/>
      <c r="F125" s="10" t="n"/>
      <c r="G125" s="6" t="n"/>
      <c r="H125" s="11">
        <f>IF(F125="","",ROUND(F125*N(G125),2))</f>
        <v/>
      </c>
      <c r="I125" s="11">
        <f>IF(F125="","",F125+H125)</f>
        <v/>
      </c>
      <c r="J125" s="6" t="n"/>
      <c r="K125" s="11">
        <f>IF(F125="","",ROUND(F125*IF(J125="",1,J125),2))</f>
        <v/>
      </c>
      <c r="L125" s="11">
        <f>IF(F125="","",ROUND(H125*IF(J125="",1,J125),2))</f>
        <v/>
      </c>
      <c r="M125" s="12">
        <f>IF(A125="","",ROUNDUP(MONTH(A125)/3,0))</f>
        <v/>
      </c>
      <c r="N125" s="12">
        <f>IF(A125="","",MONTH(A125))</f>
        <v/>
      </c>
    </row>
    <row r="126">
      <c r="A126" s="9" t="n"/>
      <c r="B126" s="5" t="n"/>
      <c r="C126" s="5" t="n"/>
      <c r="D126" s="5" t="n"/>
      <c r="E126" s="5" t="n"/>
      <c r="F126" s="10" t="n"/>
      <c r="G126" s="6" t="n"/>
      <c r="H126" s="11">
        <f>IF(F126="","",ROUND(F126*N(G126),2))</f>
        <v/>
      </c>
      <c r="I126" s="11">
        <f>IF(F126="","",F126+H126)</f>
        <v/>
      </c>
      <c r="J126" s="6" t="n"/>
      <c r="K126" s="11">
        <f>IF(F126="","",ROUND(F126*IF(J126="",1,J126),2))</f>
        <v/>
      </c>
      <c r="L126" s="11">
        <f>IF(F126="","",ROUND(H126*IF(J126="",1,J126),2))</f>
        <v/>
      </c>
      <c r="M126" s="12">
        <f>IF(A126="","",ROUNDUP(MONTH(A126)/3,0))</f>
        <v/>
      </c>
      <c r="N126" s="12">
        <f>IF(A126="","",MONTH(A126))</f>
        <v/>
      </c>
    </row>
    <row r="127">
      <c r="A127" s="9" t="n"/>
      <c r="B127" s="5" t="n"/>
      <c r="C127" s="5" t="n"/>
      <c r="D127" s="5" t="n"/>
      <c r="E127" s="5" t="n"/>
      <c r="F127" s="10" t="n"/>
      <c r="G127" s="6" t="n"/>
      <c r="H127" s="11">
        <f>IF(F127="","",ROUND(F127*N(G127),2))</f>
        <v/>
      </c>
      <c r="I127" s="11">
        <f>IF(F127="","",F127+H127)</f>
        <v/>
      </c>
      <c r="J127" s="6" t="n"/>
      <c r="K127" s="11">
        <f>IF(F127="","",ROUND(F127*IF(J127="",1,J127),2))</f>
        <v/>
      </c>
      <c r="L127" s="11">
        <f>IF(F127="","",ROUND(H127*IF(J127="",1,J127),2))</f>
        <v/>
      </c>
      <c r="M127" s="12">
        <f>IF(A127="","",ROUNDUP(MONTH(A127)/3,0))</f>
        <v/>
      </c>
      <c r="N127" s="12">
        <f>IF(A127="","",MONTH(A127))</f>
        <v/>
      </c>
    </row>
    <row r="128">
      <c r="A128" s="9" t="n"/>
      <c r="B128" s="5" t="n"/>
      <c r="C128" s="5" t="n"/>
      <c r="D128" s="5" t="n"/>
      <c r="E128" s="5" t="n"/>
      <c r="F128" s="10" t="n"/>
      <c r="G128" s="6" t="n"/>
      <c r="H128" s="11">
        <f>IF(F128="","",ROUND(F128*N(G128),2))</f>
        <v/>
      </c>
      <c r="I128" s="11">
        <f>IF(F128="","",F128+H128)</f>
        <v/>
      </c>
      <c r="J128" s="6" t="n"/>
      <c r="K128" s="11">
        <f>IF(F128="","",ROUND(F128*IF(J128="",1,J128),2))</f>
        <v/>
      </c>
      <c r="L128" s="11">
        <f>IF(F128="","",ROUND(H128*IF(J128="",1,J128),2))</f>
        <v/>
      </c>
      <c r="M128" s="12">
        <f>IF(A128="","",ROUNDUP(MONTH(A128)/3,0))</f>
        <v/>
      </c>
      <c r="N128" s="12">
        <f>IF(A128="","",MONTH(A128))</f>
        <v/>
      </c>
    </row>
    <row r="129">
      <c r="A129" s="9" t="n"/>
      <c r="B129" s="5" t="n"/>
      <c r="C129" s="5" t="n"/>
      <c r="D129" s="5" t="n"/>
      <c r="E129" s="5" t="n"/>
      <c r="F129" s="10" t="n"/>
      <c r="G129" s="6" t="n"/>
      <c r="H129" s="11">
        <f>IF(F129="","",ROUND(F129*N(G129),2))</f>
        <v/>
      </c>
      <c r="I129" s="11">
        <f>IF(F129="","",F129+H129)</f>
        <v/>
      </c>
      <c r="J129" s="6" t="n"/>
      <c r="K129" s="11">
        <f>IF(F129="","",ROUND(F129*IF(J129="",1,J129),2))</f>
        <v/>
      </c>
      <c r="L129" s="11">
        <f>IF(F129="","",ROUND(H129*IF(J129="",1,J129),2))</f>
        <v/>
      </c>
      <c r="M129" s="12">
        <f>IF(A129="","",ROUNDUP(MONTH(A129)/3,0))</f>
        <v/>
      </c>
      <c r="N129" s="12">
        <f>IF(A129="","",MONTH(A129))</f>
        <v/>
      </c>
    </row>
    <row r="130">
      <c r="A130" s="9" t="n"/>
      <c r="B130" s="5" t="n"/>
      <c r="C130" s="5" t="n"/>
      <c r="D130" s="5" t="n"/>
      <c r="E130" s="5" t="n"/>
      <c r="F130" s="10" t="n"/>
      <c r="G130" s="6" t="n"/>
      <c r="H130" s="11">
        <f>IF(F130="","",ROUND(F130*N(G130),2))</f>
        <v/>
      </c>
      <c r="I130" s="11">
        <f>IF(F130="","",F130+H130)</f>
        <v/>
      </c>
      <c r="J130" s="6" t="n"/>
      <c r="K130" s="11">
        <f>IF(F130="","",ROUND(F130*IF(J130="",1,J130),2))</f>
        <v/>
      </c>
      <c r="L130" s="11">
        <f>IF(F130="","",ROUND(H130*IF(J130="",1,J130),2))</f>
        <v/>
      </c>
      <c r="M130" s="12">
        <f>IF(A130="","",ROUNDUP(MONTH(A130)/3,0))</f>
        <v/>
      </c>
      <c r="N130" s="12">
        <f>IF(A130="","",MONTH(A130))</f>
        <v/>
      </c>
    </row>
    <row r="131">
      <c r="A131" s="9" t="n"/>
      <c r="B131" s="5" t="n"/>
      <c r="C131" s="5" t="n"/>
      <c r="D131" s="5" t="n"/>
      <c r="E131" s="5" t="n"/>
      <c r="F131" s="10" t="n"/>
      <c r="G131" s="6" t="n"/>
      <c r="H131" s="11">
        <f>IF(F131="","",ROUND(F131*N(G131),2))</f>
        <v/>
      </c>
      <c r="I131" s="11">
        <f>IF(F131="","",F131+H131)</f>
        <v/>
      </c>
      <c r="J131" s="6" t="n"/>
      <c r="K131" s="11">
        <f>IF(F131="","",ROUND(F131*IF(J131="",1,J131),2))</f>
        <v/>
      </c>
      <c r="L131" s="11">
        <f>IF(F131="","",ROUND(H131*IF(J131="",1,J131),2))</f>
        <v/>
      </c>
      <c r="M131" s="12">
        <f>IF(A131="","",ROUNDUP(MONTH(A131)/3,0))</f>
        <v/>
      </c>
      <c r="N131" s="12">
        <f>IF(A131="","",MONTH(A131))</f>
        <v/>
      </c>
    </row>
    <row r="132">
      <c r="A132" s="9" t="n"/>
      <c r="B132" s="5" t="n"/>
      <c r="C132" s="5" t="n"/>
      <c r="D132" s="5" t="n"/>
      <c r="E132" s="5" t="n"/>
      <c r="F132" s="10" t="n"/>
      <c r="G132" s="6" t="n"/>
      <c r="H132" s="11">
        <f>IF(F132="","",ROUND(F132*N(G132),2))</f>
        <v/>
      </c>
      <c r="I132" s="11">
        <f>IF(F132="","",F132+H132)</f>
        <v/>
      </c>
      <c r="J132" s="6" t="n"/>
      <c r="K132" s="11">
        <f>IF(F132="","",ROUND(F132*IF(J132="",1,J132),2))</f>
        <v/>
      </c>
      <c r="L132" s="11">
        <f>IF(F132="","",ROUND(H132*IF(J132="",1,J132),2))</f>
        <v/>
      </c>
      <c r="M132" s="12">
        <f>IF(A132="","",ROUNDUP(MONTH(A132)/3,0))</f>
        <v/>
      </c>
      <c r="N132" s="12">
        <f>IF(A132="","",MONTH(A132))</f>
        <v/>
      </c>
    </row>
    <row r="133">
      <c r="A133" s="9" t="n"/>
      <c r="B133" s="5" t="n"/>
      <c r="C133" s="5" t="n"/>
      <c r="D133" s="5" t="n"/>
      <c r="E133" s="5" t="n"/>
      <c r="F133" s="10" t="n"/>
      <c r="G133" s="6" t="n"/>
      <c r="H133" s="11">
        <f>IF(F133="","",ROUND(F133*N(G133),2))</f>
        <v/>
      </c>
      <c r="I133" s="11">
        <f>IF(F133="","",F133+H133)</f>
        <v/>
      </c>
      <c r="J133" s="6" t="n"/>
      <c r="K133" s="11">
        <f>IF(F133="","",ROUND(F133*IF(J133="",1,J133),2))</f>
        <v/>
      </c>
      <c r="L133" s="11">
        <f>IF(F133="","",ROUND(H133*IF(J133="",1,J133),2))</f>
        <v/>
      </c>
      <c r="M133" s="12">
        <f>IF(A133="","",ROUNDUP(MONTH(A133)/3,0))</f>
        <v/>
      </c>
      <c r="N133" s="12">
        <f>IF(A133="","",MONTH(A133))</f>
        <v/>
      </c>
    </row>
    <row r="134">
      <c r="A134" s="9" t="n"/>
      <c r="B134" s="5" t="n"/>
      <c r="C134" s="5" t="n"/>
      <c r="D134" s="5" t="n"/>
      <c r="E134" s="5" t="n"/>
      <c r="F134" s="10" t="n"/>
      <c r="G134" s="6" t="n"/>
      <c r="H134" s="11">
        <f>IF(F134="","",ROUND(F134*N(G134),2))</f>
        <v/>
      </c>
      <c r="I134" s="11">
        <f>IF(F134="","",F134+H134)</f>
        <v/>
      </c>
      <c r="J134" s="6" t="n"/>
      <c r="K134" s="11">
        <f>IF(F134="","",ROUND(F134*IF(J134="",1,J134),2))</f>
        <v/>
      </c>
      <c r="L134" s="11">
        <f>IF(F134="","",ROUND(H134*IF(J134="",1,J134),2))</f>
        <v/>
      </c>
      <c r="M134" s="12">
        <f>IF(A134="","",ROUNDUP(MONTH(A134)/3,0))</f>
        <v/>
      </c>
      <c r="N134" s="12">
        <f>IF(A134="","",MONTH(A134))</f>
        <v/>
      </c>
    </row>
    <row r="135">
      <c r="A135" s="9" t="n"/>
      <c r="B135" s="5" t="n"/>
      <c r="C135" s="5" t="n"/>
      <c r="D135" s="5" t="n"/>
      <c r="E135" s="5" t="n"/>
      <c r="F135" s="10" t="n"/>
      <c r="G135" s="6" t="n"/>
      <c r="H135" s="11">
        <f>IF(F135="","",ROUND(F135*N(G135),2))</f>
        <v/>
      </c>
      <c r="I135" s="11">
        <f>IF(F135="","",F135+H135)</f>
        <v/>
      </c>
      <c r="J135" s="6" t="n"/>
      <c r="K135" s="11">
        <f>IF(F135="","",ROUND(F135*IF(J135="",1,J135),2))</f>
        <v/>
      </c>
      <c r="L135" s="11">
        <f>IF(F135="","",ROUND(H135*IF(J135="",1,J135),2))</f>
        <v/>
      </c>
      <c r="M135" s="12">
        <f>IF(A135="","",ROUNDUP(MONTH(A135)/3,0))</f>
        <v/>
      </c>
      <c r="N135" s="12">
        <f>IF(A135="","",MONTH(A135))</f>
        <v/>
      </c>
    </row>
    <row r="136">
      <c r="A136" s="9" t="n"/>
      <c r="B136" s="5" t="n"/>
      <c r="C136" s="5" t="n"/>
      <c r="D136" s="5" t="n"/>
      <c r="E136" s="5" t="n"/>
      <c r="F136" s="10" t="n"/>
      <c r="G136" s="6" t="n"/>
      <c r="H136" s="11">
        <f>IF(F136="","",ROUND(F136*N(G136),2))</f>
        <v/>
      </c>
      <c r="I136" s="11">
        <f>IF(F136="","",F136+H136)</f>
        <v/>
      </c>
      <c r="J136" s="6" t="n"/>
      <c r="K136" s="11">
        <f>IF(F136="","",ROUND(F136*IF(J136="",1,J136),2))</f>
        <v/>
      </c>
      <c r="L136" s="11">
        <f>IF(F136="","",ROUND(H136*IF(J136="",1,J136),2))</f>
        <v/>
      </c>
      <c r="M136" s="12">
        <f>IF(A136="","",ROUNDUP(MONTH(A136)/3,0))</f>
        <v/>
      </c>
      <c r="N136" s="12">
        <f>IF(A136="","",MONTH(A136))</f>
        <v/>
      </c>
    </row>
    <row r="137">
      <c r="A137" s="9" t="n"/>
      <c r="B137" s="5" t="n"/>
      <c r="C137" s="5" t="n"/>
      <c r="D137" s="5" t="n"/>
      <c r="E137" s="5" t="n"/>
      <c r="F137" s="10" t="n"/>
      <c r="G137" s="6" t="n"/>
      <c r="H137" s="11">
        <f>IF(F137="","",ROUND(F137*N(G137),2))</f>
        <v/>
      </c>
      <c r="I137" s="11">
        <f>IF(F137="","",F137+H137)</f>
        <v/>
      </c>
      <c r="J137" s="6" t="n"/>
      <c r="K137" s="11">
        <f>IF(F137="","",ROUND(F137*IF(J137="",1,J137),2))</f>
        <v/>
      </c>
      <c r="L137" s="11">
        <f>IF(F137="","",ROUND(H137*IF(J137="",1,J137),2))</f>
        <v/>
      </c>
      <c r="M137" s="12">
        <f>IF(A137="","",ROUNDUP(MONTH(A137)/3,0))</f>
        <v/>
      </c>
      <c r="N137" s="12">
        <f>IF(A137="","",MONTH(A137))</f>
        <v/>
      </c>
    </row>
    <row r="138">
      <c r="A138" s="9" t="n"/>
      <c r="B138" s="5" t="n"/>
      <c r="C138" s="5" t="n"/>
      <c r="D138" s="5" t="n"/>
      <c r="E138" s="5" t="n"/>
      <c r="F138" s="10" t="n"/>
      <c r="G138" s="6" t="n"/>
      <c r="H138" s="11">
        <f>IF(F138="","",ROUND(F138*N(G138),2))</f>
        <v/>
      </c>
      <c r="I138" s="11">
        <f>IF(F138="","",F138+H138)</f>
        <v/>
      </c>
      <c r="J138" s="6" t="n"/>
      <c r="K138" s="11">
        <f>IF(F138="","",ROUND(F138*IF(J138="",1,J138),2))</f>
        <v/>
      </c>
      <c r="L138" s="11">
        <f>IF(F138="","",ROUND(H138*IF(J138="",1,J138),2))</f>
        <v/>
      </c>
      <c r="M138" s="12">
        <f>IF(A138="","",ROUNDUP(MONTH(A138)/3,0))</f>
        <v/>
      </c>
      <c r="N138" s="12">
        <f>IF(A138="","",MONTH(A138))</f>
        <v/>
      </c>
    </row>
    <row r="139">
      <c r="A139" s="9" t="n"/>
      <c r="B139" s="5" t="n"/>
      <c r="C139" s="5" t="n"/>
      <c r="D139" s="5" t="n"/>
      <c r="E139" s="5" t="n"/>
      <c r="F139" s="10" t="n"/>
      <c r="G139" s="6" t="n"/>
      <c r="H139" s="11">
        <f>IF(F139="","",ROUND(F139*N(G139),2))</f>
        <v/>
      </c>
      <c r="I139" s="11">
        <f>IF(F139="","",F139+H139)</f>
        <v/>
      </c>
      <c r="J139" s="6" t="n"/>
      <c r="K139" s="11">
        <f>IF(F139="","",ROUND(F139*IF(J139="",1,J139),2))</f>
        <v/>
      </c>
      <c r="L139" s="11">
        <f>IF(F139="","",ROUND(H139*IF(J139="",1,J139),2))</f>
        <v/>
      </c>
      <c r="M139" s="12">
        <f>IF(A139="","",ROUNDUP(MONTH(A139)/3,0))</f>
        <v/>
      </c>
      <c r="N139" s="12">
        <f>IF(A139="","",MONTH(A139))</f>
        <v/>
      </c>
    </row>
    <row r="140">
      <c r="A140" s="9" t="n"/>
      <c r="B140" s="5" t="n"/>
      <c r="C140" s="5" t="n"/>
      <c r="D140" s="5" t="n"/>
      <c r="E140" s="5" t="n"/>
      <c r="F140" s="10" t="n"/>
      <c r="G140" s="6" t="n"/>
      <c r="H140" s="11">
        <f>IF(F140="","",ROUND(F140*N(G140),2))</f>
        <v/>
      </c>
      <c r="I140" s="11">
        <f>IF(F140="","",F140+H140)</f>
        <v/>
      </c>
      <c r="J140" s="6" t="n"/>
      <c r="K140" s="11">
        <f>IF(F140="","",ROUND(F140*IF(J140="",1,J140),2))</f>
        <v/>
      </c>
      <c r="L140" s="11">
        <f>IF(F140="","",ROUND(H140*IF(J140="",1,J140),2))</f>
        <v/>
      </c>
      <c r="M140" s="12">
        <f>IF(A140="","",ROUNDUP(MONTH(A140)/3,0))</f>
        <v/>
      </c>
      <c r="N140" s="12">
        <f>IF(A140="","",MONTH(A140))</f>
        <v/>
      </c>
    </row>
    <row r="141">
      <c r="A141" s="9" t="n"/>
      <c r="B141" s="5" t="n"/>
      <c r="C141" s="5" t="n"/>
      <c r="D141" s="5" t="n"/>
      <c r="E141" s="5" t="n"/>
      <c r="F141" s="10" t="n"/>
      <c r="G141" s="6" t="n"/>
      <c r="H141" s="11">
        <f>IF(F141="","",ROUND(F141*N(G141),2))</f>
        <v/>
      </c>
      <c r="I141" s="11">
        <f>IF(F141="","",F141+H141)</f>
        <v/>
      </c>
      <c r="J141" s="6" t="n"/>
      <c r="K141" s="11">
        <f>IF(F141="","",ROUND(F141*IF(J141="",1,J141),2))</f>
        <v/>
      </c>
      <c r="L141" s="11">
        <f>IF(F141="","",ROUND(H141*IF(J141="",1,J141),2))</f>
        <v/>
      </c>
      <c r="M141" s="12">
        <f>IF(A141="","",ROUNDUP(MONTH(A141)/3,0))</f>
        <v/>
      </c>
      <c r="N141" s="12">
        <f>IF(A141="","",MONTH(A141))</f>
        <v/>
      </c>
    </row>
    <row r="142">
      <c r="A142" s="9" t="n"/>
      <c r="B142" s="5" t="n"/>
      <c r="C142" s="5" t="n"/>
      <c r="D142" s="5" t="n"/>
      <c r="E142" s="5" t="n"/>
      <c r="F142" s="10" t="n"/>
      <c r="G142" s="6" t="n"/>
      <c r="H142" s="11">
        <f>IF(F142="","",ROUND(F142*N(G142),2))</f>
        <v/>
      </c>
      <c r="I142" s="11">
        <f>IF(F142="","",F142+H142)</f>
        <v/>
      </c>
      <c r="J142" s="6" t="n"/>
      <c r="K142" s="11">
        <f>IF(F142="","",ROUND(F142*IF(J142="",1,J142),2))</f>
        <v/>
      </c>
      <c r="L142" s="11">
        <f>IF(F142="","",ROUND(H142*IF(J142="",1,J142),2))</f>
        <v/>
      </c>
      <c r="M142" s="12">
        <f>IF(A142="","",ROUNDUP(MONTH(A142)/3,0))</f>
        <v/>
      </c>
      <c r="N142" s="12">
        <f>IF(A142="","",MONTH(A142))</f>
        <v/>
      </c>
    </row>
    <row r="143">
      <c r="A143" s="9" t="n"/>
      <c r="B143" s="5" t="n"/>
      <c r="C143" s="5" t="n"/>
      <c r="D143" s="5" t="n"/>
      <c r="E143" s="5" t="n"/>
      <c r="F143" s="10" t="n"/>
      <c r="G143" s="6" t="n"/>
      <c r="H143" s="11">
        <f>IF(F143="","",ROUND(F143*N(G143),2))</f>
        <v/>
      </c>
      <c r="I143" s="11">
        <f>IF(F143="","",F143+H143)</f>
        <v/>
      </c>
      <c r="J143" s="6" t="n"/>
      <c r="K143" s="11">
        <f>IF(F143="","",ROUND(F143*IF(J143="",1,J143),2))</f>
        <v/>
      </c>
      <c r="L143" s="11">
        <f>IF(F143="","",ROUND(H143*IF(J143="",1,J143),2))</f>
        <v/>
      </c>
      <c r="M143" s="12">
        <f>IF(A143="","",ROUNDUP(MONTH(A143)/3,0))</f>
        <v/>
      </c>
      <c r="N143" s="12">
        <f>IF(A143="","",MONTH(A143))</f>
        <v/>
      </c>
    </row>
    <row r="144">
      <c r="A144" s="9" t="n"/>
      <c r="B144" s="5" t="n"/>
      <c r="C144" s="5" t="n"/>
      <c r="D144" s="5" t="n"/>
      <c r="E144" s="5" t="n"/>
      <c r="F144" s="10" t="n"/>
      <c r="G144" s="6" t="n"/>
      <c r="H144" s="11">
        <f>IF(F144="","",ROUND(F144*N(G144),2))</f>
        <v/>
      </c>
      <c r="I144" s="11">
        <f>IF(F144="","",F144+H144)</f>
        <v/>
      </c>
      <c r="J144" s="6" t="n"/>
      <c r="K144" s="11">
        <f>IF(F144="","",ROUND(F144*IF(J144="",1,J144),2))</f>
        <v/>
      </c>
      <c r="L144" s="11">
        <f>IF(F144="","",ROUND(H144*IF(J144="",1,J144),2))</f>
        <v/>
      </c>
      <c r="M144" s="12">
        <f>IF(A144="","",ROUNDUP(MONTH(A144)/3,0))</f>
        <v/>
      </c>
      <c r="N144" s="12">
        <f>IF(A144="","",MONTH(A144))</f>
        <v/>
      </c>
    </row>
    <row r="145">
      <c r="A145" s="9" t="n"/>
      <c r="B145" s="5" t="n"/>
      <c r="C145" s="5" t="n"/>
      <c r="D145" s="5" t="n"/>
      <c r="E145" s="5" t="n"/>
      <c r="F145" s="10" t="n"/>
      <c r="G145" s="6" t="n"/>
      <c r="H145" s="11">
        <f>IF(F145="","",ROUND(F145*N(G145),2))</f>
        <v/>
      </c>
      <c r="I145" s="11">
        <f>IF(F145="","",F145+H145)</f>
        <v/>
      </c>
      <c r="J145" s="6" t="n"/>
      <c r="K145" s="11">
        <f>IF(F145="","",ROUND(F145*IF(J145="",1,J145),2))</f>
        <v/>
      </c>
      <c r="L145" s="11">
        <f>IF(F145="","",ROUND(H145*IF(J145="",1,J145),2))</f>
        <v/>
      </c>
      <c r="M145" s="12">
        <f>IF(A145="","",ROUNDUP(MONTH(A145)/3,0))</f>
        <v/>
      </c>
      <c r="N145" s="12">
        <f>IF(A145="","",MONTH(A145))</f>
        <v/>
      </c>
    </row>
    <row r="146">
      <c r="A146" s="9" t="n"/>
      <c r="B146" s="5" t="n"/>
      <c r="C146" s="5" t="n"/>
      <c r="D146" s="5" t="n"/>
      <c r="E146" s="5" t="n"/>
      <c r="F146" s="10" t="n"/>
      <c r="G146" s="6" t="n"/>
      <c r="H146" s="11">
        <f>IF(F146="","",ROUND(F146*N(G146),2))</f>
        <v/>
      </c>
      <c r="I146" s="11">
        <f>IF(F146="","",F146+H146)</f>
        <v/>
      </c>
      <c r="J146" s="6" t="n"/>
      <c r="K146" s="11">
        <f>IF(F146="","",ROUND(F146*IF(J146="",1,J146),2))</f>
        <v/>
      </c>
      <c r="L146" s="11">
        <f>IF(F146="","",ROUND(H146*IF(J146="",1,J146),2))</f>
        <v/>
      </c>
      <c r="M146" s="12">
        <f>IF(A146="","",ROUNDUP(MONTH(A146)/3,0))</f>
        <v/>
      </c>
      <c r="N146" s="12">
        <f>IF(A146="","",MONTH(A146))</f>
        <v/>
      </c>
    </row>
    <row r="147">
      <c r="A147" s="9" t="n"/>
      <c r="B147" s="5" t="n"/>
      <c r="C147" s="5" t="n"/>
      <c r="D147" s="5" t="n"/>
      <c r="E147" s="5" t="n"/>
      <c r="F147" s="10" t="n"/>
      <c r="G147" s="6" t="n"/>
      <c r="H147" s="11">
        <f>IF(F147="","",ROUND(F147*N(G147),2))</f>
        <v/>
      </c>
      <c r="I147" s="11">
        <f>IF(F147="","",F147+H147)</f>
        <v/>
      </c>
      <c r="J147" s="6" t="n"/>
      <c r="K147" s="11">
        <f>IF(F147="","",ROUND(F147*IF(J147="",1,J147),2))</f>
        <v/>
      </c>
      <c r="L147" s="11">
        <f>IF(F147="","",ROUND(H147*IF(J147="",1,J147),2))</f>
        <v/>
      </c>
      <c r="M147" s="12">
        <f>IF(A147="","",ROUNDUP(MONTH(A147)/3,0))</f>
        <v/>
      </c>
      <c r="N147" s="12">
        <f>IF(A147="","",MONTH(A147))</f>
        <v/>
      </c>
    </row>
    <row r="148">
      <c r="A148" s="9" t="n"/>
      <c r="B148" s="5" t="n"/>
      <c r="C148" s="5" t="n"/>
      <c r="D148" s="5" t="n"/>
      <c r="E148" s="5" t="n"/>
      <c r="F148" s="10" t="n"/>
      <c r="G148" s="6" t="n"/>
      <c r="H148" s="11">
        <f>IF(F148="","",ROUND(F148*N(G148),2))</f>
        <v/>
      </c>
      <c r="I148" s="11">
        <f>IF(F148="","",F148+H148)</f>
        <v/>
      </c>
      <c r="J148" s="6" t="n"/>
      <c r="K148" s="11">
        <f>IF(F148="","",ROUND(F148*IF(J148="",1,J148),2))</f>
        <v/>
      </c>
      <c r="L148" s="11">
        <f>IF(F148="","",ROUND(H148*IF(J148="",1,J148),2))</f>
        <v/>
      </c>
      <c r="M148" s="12">
        <f>IF(A148="","",ROUNDUP(MONTH(A148)/3,0))</f>
        <v/>
      </c>
      <c r="N148" s="12">
        <f>IF(A148="","",MONTH(A148))</f>
        <v/>
      </c>
    </row>
    <row r="149">
      <c r="A149" s="9" t="n"/>
      <c r="B149" s="5" t="n"/>
      <c r="C149" s="5" t="n"/>
      <c r="D149" s="5" t="n"/>
      <c r="E149" s="5" t="n"/>
      <c r="F149" s="10" t="n"/>
      <c r="G149" s="6" t="n"/>
      <c r="H149" s="11">
        <f>IF(F149="","",ROUND(F149*N(G149),2))</f>
        <v/>
      </c>
      <c r="I149" s="11">
        <f>IF(F149="","",F149+H149)</f>
        <v/>
      </c>
      <c r="J149" s="6" t="n"/>
      <c r="K149" s="11">
        <f>IF(F149="","",ROUND(F149*IF(J149="",1,J149),2))</f>
        <v/>
      </c>
      <c r="L149" s="11">
        <f>IF(F149="","",ROUND(H149*IF(J149="",1,J149),2))</f>
        <v/>
      </c>
      <c r="M149" s="12">
        <f>IF(A149="","",ROUNDUP(MONTH(A149)/3,0))</f>
        <v/>
      </c>
      <c r="N149" s="12">
        <f>IF(A149="","",MONTH(A149))</f>
        <v/>
      </c>
    </row>
    <row r="150">
      <c r="A150" s="9" t="n"/>
      <c r="B150" s="5" t="n"/>
      <c r="C150" s="5" t="n"/>
      <c r="D150" s="5" t="n"/>
      <c r="E150" s="5" t="n"/>
      <c r="F150" s="10" t="n"/>
      <c r="G150" s="6" t="n"/>
      <c r="H150" s="11">
        <f>IF(F150="","",ROUND(F150*N(G150),2))</f>
        <v/>
      </c>
      <c r="I150" s="11">
        <f>IF(F150="","",F150+H150)</f>
        <v/>
      </c>
      <c r="J150" s="6" t="n"/>
      <c r="K150" s="11">
        <f>IF(F150="","",ROUND(F150*IF(J150="",1,J150),2))</f>
        <v/>
      </c>
      <c r="L150" s="11">
        <f>IF(F150="","",ROUND(H150*IF(J150="",1,J150),2))</f>
        <v/>
      </c>
      <c r="M150" s="12">
        <f>IF(A150="","",ROUNDUP(MONTH(A150)/3,0))</f>
        <v/>
      </c>
      <c r="N150" s="12">
        <f>IF(A150="","",MONTH(A150))</f>
        <v/>
      </c>
    </row>
    <row r="151">
      <c r="A151" s="9" t="n"/>
      <c r="B151" s="5" t="n"/>
      <c r="C151" s="5" t="n"/>
      <c r="D151" s="5" t="n"/>
      <c r="E151" s="5" t="n"/>
      <c r="F151" s="10" t="n"/>
      <c r="G151" s="6" t="n"/>
      <c r="H151" s="11">
        <f>IF(F151="","",ROUND(F151*N(G151),2))</f>
        <v/>
      </c>
      <c r="I151" s="11">
        <f>IF(F151="","",F151+H151)</f>
        <v/>
      </c>
      <c r="J151" s="6" t="n"/>
      <c r="K151" s="11">
        <f>IF(F151="","",ROUND(F151*IF(J151="",1,J151),2))</f>
        <v/>
      </c>
      <c r="L151" s="11">
        <f>IF(F151="","",ROUND(H151*IF(J151="",1,J151),2))</f>
        <v/>
      </c>
      <c r="M151" s="12">
        <f>IF(A151="","",ROUNDUP(MONTH(A151)/3,0))</f>
        <v/>
      </c>
      <c r="N151" s="12">
        <f>IF(A151="","",MONTH(A151))</f>
        <v/>
      </c>
    </row>
    <row r="152">
      <c r="A152" s="9" t="n"/>
      <c r="B152" s="5" t="n"/>
      <c r="C152" s="5" t="n"/>
      <c r="D152" s="5" t="n"/>
      <c r="E152" s="5" t="n"/>
      <c r="F152" s="10" t="n"/>
      <c r="G152" s="6" t="n"/>
      <c r="H152" s="11">
        <f>IF(F152="","",ROUND(F152*N(G152),2))</f>
        <v/>
      </c>
      <c r="I152" s="11">
        <f>IF(F152="","",F152+H152)</f>
        <v/>
      </c>
      <c r="J152" s="6" t="n"/>
      <c r="K152" s="11">
        <f>IF(F152="","",ROUND(F152*IF(J152="",1,J152),2))</f>
        <v/>
      </c>
      <c r="L152" s="11">
        <f>IF(F152="","",ROUND(H152*IF(J152="",1,J152),2))</f>
        <v/>
      </c>
      <c r="M152" s="12">
        <f>IF(A152="","",ROUNDUP(MONTH(A152)/3,0))</f>
        <v/>
      </c>
      <c r="N152" s="12">
        <f>IF(A152="","",MONTH(A152))</f>
        <v/>
      </c>
    </row>
    <row r="153">
      <c r="A153" s="9" t="n"/>
      <c r="B153" s="5" t="n"/>
      <c r="C153" s="5" t="n"/>
      <c r="D153" s="5" t="n"/>
      <c r="E153" s="5" t="n"/>
      <c r="F153" s="10" t="n"/>
      <c r="G153" s="6" t="n"/>
      <c r="H153" s="11">
        <f>IF(F153="","",ROUND(F153*N(G153),2))</f>
        <v/>
      </c>
      <c r="I153" s="11">
        <f>IF(F153="","",F153+H153)</f>
        <v/>
      </c>
      <c r="J153" s="6" t="n"/>
      <c r="K153" s="11">
        <f>IF(F153="","",ROUND(F153*IF(J153="",1,J153),2))</f>
        <v/>
      </c>
      <c r="L153" s="11">
        <f>IF(F153="","",ROUND(H153*IF(J153="",1,J153),2))</f>
        <v/>
      </c>
      <c r="M153" s="12">
        <f>IF(A153="","",ROUNDUP(MONTH(A153)/3,0))</f>
        <v/>
      </c>
      <c r="N153" s="12">
        <f>IF(A153="","",MONTH(A153))</f>
        <v/>
      </c>
    </row>
    <row r="154">
      <c r="A154" s="9" t="n"/>
      <c r="B154" s="5" t="n"/>
      <c r="C154" s="5" t="n"/>
      <c r="D154" s="5" t="n"/>
      <c r="E154" s="5" t="n"/>
      <c r="F154" s="10" t="n"/>
      <c r="G154" s="6" t="n"/>
      <c r="H154" s="11">
        <f>IF(F154="","",ROUND(F154*N(G154),2))</f>
        <v/>
      </c>
      <c r="I154" s="11">
        <f>IF(F154="","",F154+H154)</f>
        <v/>
      </c>
      <c r="J154" s="6" t="n"/>
      <c r="K154" s="11">
        <f>IF(F154="","",ROUND(F154*IF(J154="",1,J154),2))</f>
        <v/>
      </c>
      <c r="L154" s="11">
        <f>IF(F154="","",ROUND(H154*IF(J154="",1,J154),2))</f>
        <v/>
      </c>
      <c r="M154" s="12">
        <f>IF(A154="","",ROUNDUP(MONTH(A154)/3,0))</f>
        <v/>
      </c>
      <c r="N154" s="12">
        <f>IF(A154="","",MONTH(A154))</f>
        <v/>
      </c>
    </row>
    <row r="155">
      <c r="A155" s="9" t="n"/>
      <c r="B155" s="5" t="n"/>
      <c r="C155" s="5" t="n"/>
      <c r="D155" s="5" t="n"/>
      <c r="E155" s="5" t="n"/>
      <c r="F155" s="10" t="n"/>
      <c r="G155" s="6" t="n"/>
      <c r="H155" s="11">
        <f>IF(F155="","",ROUND(F155*N(G155),2))</f>
        <v/>
      </c>
      <c r="I155" s="11">
        <f>IF(F155="","",F155+H155)</f>
        <v/>
      </c>
      <c r="J155" s="6" t="n"/>
      <c r="K155" s="11">
        <f>IF(F155="","",ROUND(F155*IF(J155="",1,J155),2))</f>
        <v/>
      </c>
      <c r="L155" s="11">
        <f>IF(F155="","",ROUND(H155*IF(J155="",1,J155),2))</f>
        <v/>
      </c>
      <c r="M155" s="12">
        <f>IF(A155="","",ROUNDUP(MONTH(A155)/3,0))</f>
        <v/>
      </c>
      <c r="N155" s="12">
        <f>IF(A155="","",MONTH(A155))</f>
        <v/>
      </c>
    </row>
    <row r="156">
      <c r="A156" s="9" t="n"/>
      <c r="B156" s="5" t="n"/>
      <c r="C156" s="5" t="n"/>
      <c r="D156" s="5" t="n"/>
      <c r="E156" s="5" t="n"/>
      <c r="F156" s="10" t="n"/>
      <c r="G156" s="6" t="n"/>
      <c r="H156" s="11">
        <f>IF(F156="","",ROUND(F156*N(G156),2))</f>
        <v/>
      </c>
      <c r="I156" s="11">
        <f>IF(F156="","",F156+H156)</f>
        <v/>
      </c>
      <c r="J156" s="6" t="n"/>
      <c r="K156" s="11">
        <f>IF(F156="","",ROUND(F156*IF(J156="",1,J156),2))</f>
        <v/>
      </c>
      <c r="L156" s="11">
        <f>IF(F156="","",ROUND(H156*IF(J156="",1,J156),2))</f>
        <v/>
      </c>
      <c r="M156" s="12">
        <f>IF(A156="","",ROUNDUP(MONTH(A156)/3,0))</f>
        <v/>
      </c>
      <c r="N156" s="12">
        <f>IF(A156="","",MONTH(A156))</f>
        <v/>
      </c>
    </row>
    <row r="157">
      <c r="A157" s="9" t="n"/>
      <c r="B157" s="5" t="n"/>
      <c r="C157" s="5" t="n"/>
      <c r="D157" s="5" t="n"/>
      <c r="E157" s="5" t="n"/>
      <c r="F157" s="10" t="n"/>
      <c r="G157" s="6" t="n"/>
      <c r="H157" s="11">
        <f>IF(F157="","",ROUND(F157*N(G157),2))</f>
        <v/>
      </c>
      <c r="I157" s="11">
        <f>IF(F157="","",F157+H157)</f>
        <v/>
      </c>
      <c r="J157" s="6" t="n"/>
      <c r="K157" s="11">
        <f>IF(F157="","",ROUND(F157*IF(J157="",1,J157),2))</f>
        <v/>
      </c>
      <c r="L157" s="11">
        <f>IF(F157="","",ROUND(H157*IF(J157="",1,J157),2))</f>
        <v/>
      </c>
      <c r="M157" s="12">
        <f>IF(A157="","",ROUNDUP(MONTH(A157)/3,0))</f>
        <v/>
      </c>
      <c r="N157" s="12">
        <f>IF(A157="","",MONTH(A157))</f>
        <v/>
      </c>
    </row>
    <row r="158">
      <c r="A158" s="9" t="n"/>
      <c r="B158" s="5" t="n"/>
      <c r="C158" s="5" t="n"/>
      <c r="D158" s="5" t="n"/>
      <c r="E158" s="5" t="n"/>
      <c r="F158" s="10" t="n"/>
      <c r="G158" s="6" t="n"/>
      <c r="H158" s="11">
        <f>IF(F158="","",ROUND(F158*N(G158),2))</f>
        <v/>
      </c>
      <c r="I158" s="11">
        <f>IF(F158="","",F158+H158)</f>
        <v/>
      </c>
      <c r="J158" s="6" t="n"/>
      <c r="K158" s="11">
        <f>IF(F158="","",ROUND(F158*IF(J158="",1,J158),2))</f>
        <v/>
      </c>
      <c r="L158" s="11">
        <f>IF(F158="","",ROUND(H158*IF(J158="",1,J158),2))</f>
        <v/>
      </c>
      <c r="M158" s="12">
        <f>IF(A158="","",ROUNDUP(MONTH(A158)/3,0))</f>
        <v/>
      </c>
      <c r="N158" s="12">
        <f>IF(A158="","",MONTH(A158))</f>
        <v/>
      </c>
    </row>
    <row r="159">
      <c r="A159" s="9" t="n"/>
      <c r="B159" s="5" t="n"/>
      <c r="C159" s="5" t="n"/>
      <c r="D159" s="5" t="n"/>
      <c r="E159" s="5" t="n"/>
      <c r="F159" s="10" t="n"/>
      <c r="G159" s="6" t="n"/>
      <c r="H159" s="11">
        <f>IF(F159="","",ROUND(F159*N(G159),2))</f>
        <v/>
      </c>
      <c r="I159" s="11">
        <f>IF(F159="","",F159+H159)</f>
        <v/>
      </c>
      <c r="J159" s="6" t="n"/>
      <c r="K159" s="11">
        <f>IF(F159="","",ROUND(F159*IF(J159="",1,J159),2))</f>
        <v/>
      </c>
      <c r="L159" s="11">
        <f>IF(F159="","",ROUND(H159*IF(J159="",1,J159),2))</f>
        <v/>
      </c>
      <c r="M159" s="12">
        <f>IF(A159="","",ROUNDUP(MONTH(A159)/3,0))</f>
        <v/>
      </c>
      <c r="N159" s="12">
        <f>IF(A159="","",MONTH(A159))</f>
        <v/>
      </c>
    </row>
    <row r="160">
      <c r="A160" s="9" t="n"/>
      <c r="B160" s="5" t="n"/>
      <c r="C160" s="5" t="n"/>
      <c r="D160" s="5" t="n"/>
      <c r="E160" s="5" t="n"/>
      <c r="F160" s="10" t="n"/>
      <c r="G160" s="6" t="n"/>
      <c r="H160" s="11">
        <f>IF(F160="","",ROUND(F160*N(G160),2))</f>
        <v/>
      </c>
      <c r="I160" s="11">
        <f>IF(F160="","",F160+H160)</f>
        <v/>
      </c>
      <c r="J160" s="6" t="n"/>
      <c r="K160" s="11">
        <f>IF(F160="","",ROUND(F160*IF(J160="",1,J160),2))</f>
        <v/>
      </c>
      <c r="L160" s="11">
        <f>IF(F160="","",ROUND(H160*IF(J160="",1,J160),2))</f>
        <v/>
      </c>
      <c r="M160" s="12">
        <f>IF(A160="","",ROUNDUP(MONTH(A160)/3,0))</f>
        <v/>
      </c>
      <c r="N160" s="12">
        <f>IF(A160="","",MONTH(A160))</f>
        <v/>
      </c>
    </row>
    <row r="161">
      <c r="A161" s="9" t="n"/>
      <c r="B161" s="5" t="n"/>
      <c r="C161" s="5" t="n"/>
      <c r="D161" s="5" t="n"/>
      <c r="E161" s="5" t="n"/>
      <c r="F161" s="10" t="n"/>
      <c r="G161" s="6" t="n"/>
      <c r="H161" s="11">
        <f>IF(F161="","",ROUND(F161*N(G161),2))</f>
        <v/>
      </c>
      <c r="I161" s="11">
        <f>IF(F161="","",F161+H161)</f>
        <v/>
      </c>
      <c r="J161" s="6" t="n"/>
      <c r="K161" s="11">
        <f>IF(F161="","",ROUND(F161*IF(J161="",1,J161),2))</f>
        <v/>
      </c>
      <c r="L161" s="11">
        <f>IF(F161="","",ROUND(H161*IF(J161="",1,J161),2))</f>
        <v/>
      </c>
      <c r="M161" s="12">
        <f>IF(A161="","",ROUNDUP(MONTH(A161)/3,0))</f>
        <v/>
      </c>
      <c r="N161" s="12">
        <f>IF(A161="","",MONTH(A161))</f>
        <v/>
      </c>
    </row>
    <row r="162">
      <c r="A162" s="9" t="n"/>
      <c r="B162" s="5" t="n"/>
      <c r="C162" s="5" t="n"/>
      <c r="D162" s="5" t="n"/>
      <c r="E162" s="5" t="n"/>
      <c r="F162" s="10" t="n"/>
      <c r="G162" s="6" t="n"/>
      <c r="H162" s="11">
        <f>IF(F162="","",ROUND(F162*N(G162),2))</f>
        <v/>
      </c>
      <c r="I162" s="11">
        <f>IF(F162="","",F162+H162)</f>
        <v/>
      </c>
      <c r="J162" s="6" t="n"/>
      <c r="K162" s="11">
        <f>IF(F162="","",ROUND(F162*IF(J162="",1,J162),2))</f>
        <v/>
      </c>
      <c r="L162" s="11">
        <f>IF(F162="","",ROUND(H162*IF(J162="",1,J162),2))</f>
        <v/>
      </c>
      <c r="M162" s="12">
        <f>IF(A162="","",ROUNDUP(MONTH(A162)/3,0))</f>
        <v/>
      </c>
      <c r="N162" s="12">
        <f>IF(A162="","",MONTH(A162))</f>
        <v/>
      </c>
    </row>
    <row r="163">
      <c r="A163" s="9" t="n"/>
      <c r="B163" s="5" t="n"/>
      <c r="C163" s="5" t="n"/>
      <c r="D163" s="5" t="n"/>
      <c r="E163" s="5" t="n"/>
      <c r="F163" s="10" t="n"/>
      <c r="G163" s="6" t="n"/>
      <c r="H163" s="11">
        <f>IF(F163="","",ROUND(F163*N(G163),2))</f>
        <v/>
      </c>
      <c r="I163" s="11">
        <f>IF(F163="","",F163+H163)</f>
        <v/>
      </c>
      <c r="J163" s="6" t="n"/>
      <c r="K163" s="11">
        <f>IF(F163="","",ROUND(F163*IF(J163="",1,J163),2))</f>
        <v/>
      </c>
      <c r="L163" s="11">
        <f>IF(F163="","",ROUND(H163*IF(J163="",1,J163),2))</f>
        <v/>
      </c>
      <c r="M163" s="12">
        <f>IF(A163="","",ROUNDUP(MONTH(A163)/3,0))</f>
        <v/>
      </c>
      <c r="N163" s="12">
        <f>IF(A163="","",MONTH(A163))</f>
        <v/>
      </c>
    </row>
    <row r="164">
      <c r="A164" s="9" t="n"/>
      <c r="B164" s="5" t="n"/>
      <c r="C164" s="5" t="n"/>
      <c r="D164" s="5" t="n"/>
      <c r="E164" s="5" t="n"/>
      <c r="F164" s="10" t="n"/>
      <c r="G164" s="6" t="n"/>
      <c r="H164" s="11">
        <f>IF(F164="","",ROUND(F164*N(G164),2))</f>
        <v/>
      </c>
      <c r="I164" s="11">
        <f>IF(F164="","",F164+H164)</f>
        <v/>
      </c>
      <c r="J164" s="6" t="n"/>
      <c r="K164" s="11">
        <f>IF(F164="","",ROUND(F164*IF(J164="",1,J164),2))</f>
        <v/>
      </c>
      <c r="L164" s="11">
        <f>IF(F164="","",ROUND(H164*IF(J164="",1,J164),2))</f>
        <v/>
      </c>
      <c r="M164" s="12">
        <f>IF(A164="","",ROUNDUP(MONTH(A164)/3,0))</f>
        <v/>
      </c>
      <c r="N164" s="12">
        <f>IF(A164="","",MONTH(A164))</f>
        <v/>
      </c>
    </row>
    <row r="165">
      <c r="A165" s="9" t="n"/>
      <c r="B165" s="5" t="n"/>
      <c r="C165" s="5" t="n"/>
      <c r="D165" s="5" t="n"/>
      <c r="E165" s="5" t="n"/>
      <c r="F165" s="10" t="n"/>
      <c r="G165" s="6" t="n"/>
      <c r="H165" s="11">
        <f>IF(F165="","",ROUND(F165*N(G165),2))</f>
        <v/>
      </c>
      <c r="I165" s="11">
        <f>IF(F165="","",F165+H165)</f>
        <v/>
      </c>
      <c r="J165" s="6" t="n"/>
      <c r="K165" s="11">
        <f>IF(F165="","",ROUND(F165*IF(J165="",1,J165),2))</f>
        <v/>
      </c>
      <c r="L165" s="11">
        <f>IF(F165="","",ROUND(H165*IF(J165="",1,J165),2))</f>
        <v/>
      </c>
      <c r="M165" s="12">
        <f>IF(A165="","",ROUNDUP(MONTH(A165)/3,0))</f>
        <v/>
      </c>
      <c r="N165" s="12">
        <f>IF(A165="","",MONTH(A165))</f>
        <v/>
      </c>
    </row>
    <row r="166">
      <c r="A166" s="9" t="n"/>
      <c r="B166" s="5" t="n"/>
      <c r="C166" s="5" t="n"/>
      <c r="D166" s="5" t="n"/>
      <c r="E166" s="5" t="n"/>
      <c r="F166" s="10" t="n"/>
      <c r="G166" s="6" t="n"/>
      <c r="H166" s="11">
        <f>IF(F166="","",ROUND(F166*N(G166),2))</f>
        <v/>
      </c>
      <c r="I166" s="11">
        <f>IF(F166="","",F166+H166)</f>
        <v/>
      </c>
      <c r="J166" s="6" t="n"/>
      <c r="K166" s="11">
        <f>IF(F166="","",ROUND(F166*IF(J166="",1,J166),2))</f>
        <v/>
      </c>
      <c r="L166" s="11">
        <f>IF(F166="","",ROUND(H166*IF(J166="",1,J166),2))</f>
        <v/>
      </c>
      <c r="M166" s="12">
        <f>IF(A166="","",ROUNDUP(MONTH(A166)/3,0))</f>
        <v/>
      </c>
      <c r="N166" s="12">
        <f>IF(A166="","",MONTH(A166))</f>
        <v/>
      </c>
    </row>
    <row r="167">
      <c r="A167" s="9" t="n"/>
      <c r="B167" s="5" t="n"/>
      <c r="C167" s="5" t="n"/>
      <c r="D167" s="5" t="n"/>
      <c r="E167" s="5" t="n"/>
      <c r="F167" s="10" t="n"/>
      <c r="G167" s="6" t="n"/>
      <c r="H167" s="11">
        <f>IF(F167="","",ROUND(F167*N(G167),2))</f>
        <v/>
      </c>
      <c r="I167" s="11">
        <f>IF(F167="","",F167+H167)</f>
        <v/>
      </c>
      <c r="J167" s="6" t="n"/>
      <c r="K167" s="11">
        <f>IF(F167="","",ROUND(F167*IF(J167="",1,J167),2))</f>
        <v/>
      </c>
      <c r="L167" s="11">
        <f>IF(F167="","",ROUND(H167*IF(J167="",1,J167),2))</f>
        <v/>
      </c>
      <c r="M167" s="12">
        <f>IF(A167="","",ROUNDUP(MONTH(A167)/3,0))</f>
        <v/>
      </c>
      <c r="N167" s="12">
        <f>IF(A167="","",MONTH(A167))</f>
        <v/>
      </c>
    </row>
    <row r="168">
      <c r="A168" s="9" t="n"/>
      <c r="B168" s="5" t="n"/>
      <c r="C168" s="5" t="n"/>
      <c r="D168" s="5" t="n"/>
      <c r="E168" s="5" t="n"/>
      <c r="F168" s="10" t="n"/>
      <c r="G168" s="6" t="n"/>
      <c r="H168" s="11">
        <f>IF(F168="","",ROUND(F168*N(G168),2))</f>
        <v/>
      </c>
      <c r="I168" s="11">
        <f>IF(F168="","",F168+H168)</f>
        <v/>
      </c>
      <c r="J168" s="6" t="n"/>
      <c r="K168" s="11">
        <f>IF(F168="","",ROUND(F168*IF(J168="",1,J168),2))</f>
        <v/>
      </c>
      <c r="L168" s="11">
        <f>IF(F168="","",ROUND(H168*IF(J168="",1,J168),2))</f>
        <v/>
      </c>
      <c r="M168" s="12">
        <f>IF(A168="","",ROUNDUP(MONTH(A168)/3,0))</f>
        <v/>
      </c>
      <c r="N168" s="12">
        <f>IF(A168="","",MONTH(A168))</f>
        <v/>
      </c>
    </row>
    <row r="169">
      <c r="A169" s="9" t="n"/>
      <c r="B169" s="5" t="n"/>
      <c r="C169" s="5" t="n"/>
      <c r="D169" s="5" t="n"/>
      <c r="E169" s="5" t="n"/>
      <c r="F169" s="10" t="n"/>
      <c r="G169" s="6" t="n"/>
      <c r="H169" s="11">
        <f>IF(F169="","",ROUND(F169*N(G169),2))</f>
        <v/>
      </c>
      <c r="I169" s="11">
        <f>IF(F169="","",F169+H169)</f>
        <v/>
      </c>
      <c r="J169" s="6" t="n"/>
      <c r="K169" s="11">
        <f>IF(F169="","",ROUND(F169*IF(J169="",1,J169),2))</f>
        <v/>
      </c>
      <c r="L169" s="11">
        <f>IF(F169="","",ROUND(H169*IF(J169="",1,J169),2))</f>
        <v/>
      </c>
      <c r="M169" s="12">
        <f>IF(A169="","",ROUNDUP(MONTH(A169)/3,0))</f>
        <v/>
      </c>
      <c r="N169" s="12">
        <f>IF(A169="","",MONTH(A169))</f>
        <v/>
      </c>
    </row>
    <row r="170">
      <c r="A170" s="9" t="n"/>
      <c r="B170" s="5" t="n"/>
      <c r="C170" s="5" t="n"/>
      <c r="D170" s="5" t="n"/>
      <c r="E170" s="5" t="n"/>
      <c r="F170" s="10" t="n"/>
      <c r="G170" s="6" t="n"/>
      <c r="H170" s="11">
        <f>IF(F170="","",ROUND(F170*N(G170),2))</f>
        <v/>
      </c>
      <c r="I170" s="11">
        <f>IF(F170="","",F170+H170)</f>
        <v/>
      </c>
      <c r="J170" s="6" t="n"/>
      <c r="K170" s="11">
        <f>IF(F170="","",ROUND(F170*IF(J170="",1,J170),2))</f>
        <v/>
      </c>
      <c r="L170" s="11">
        <f>IF(F170="","",ROUND(H170*IF(J170="",1,J170),2))</f>
        <v/>
      </c>
      <c r="M170" s="12">
        <f>IF(A170="","",ROUNDUP(MONTH(A170)/3,0))</f>
        <v/>
      </c>
      <c r="N170" s="12">
        <f>IF(A170="","",MONTH(A170))</f>
        <v/>
      </c>
    </row>
    <row r="171">
      <c r="A171" s="9" t="n"/>
      <c r="B171" s="5" t="n"/>
      <c r="C171" s="5" t="n"/>
      <c r="D171" s="5" t="n"/>
      <c r="E171" s="5" t="n"/>
      <c r="F171" s="10" t="n"/>
      <c r="G171" s="6" t="n"/>
      <c r="H171" s="11">
        <f>IF(F171="","",ROUND(F171*N(G171),2))</f>
        <v/>
      </c>
      <c r="I171" s="11">
        <f>IF(F171="","",F171+H171)</f>
        <v/>
      </c>
      <c r="J171" s="6" t="n"/>
      <c r="K171" s="11">
        <f>IF(F171="","",ROUND(F171*IF(J171="",1,J171),2))</f>
        <v/>
      </c>
      <c r="L171" s="11">
        <f>IF(F171="","",ROUND(H171*IF(J171="",1,J171),2))</f>
        <v/>
      </c>
      <c r="M171" s="12">
        <f>IF(A171="","",ROUNDUP(MONTH(A171)/3,0))</f>
        <v/>
      </c>
      <c r="N171" s="12">
        <f>IF(A171="","",MONTH(A171))</f>
        <v/>
      </c>
    </row>
    <row r="172">
      <c r="A172" s="9" t="n"/>
      <c r="B172" s="5" t="n"/>
      <c r="C172" s="5" t="n"/>
      <c r="D172" s="5" t="n"/>
      <c r="E172" s="5" t="n"/>
      <c r="F172" s="10" t="n"/>
      <c r="G172" s="6" t="n"/>
      <c r="H172" s="11">
        <f>IF(F172="","",ROUND(F172*N(G172),2))</f>
        <v/>
      </c>
      <c r="I172" s="11">
        <f>IF(F172="","",F172+H172)</f>
        <v/>
      </c>
      <c r="J172" s="6" t="n"/>
      <c r="K172" s="11">
        <f>IF(F172="","",ROUND(F172*IF(J172="",1,J172),2))</f>
        <v/>
      </c>
      <c r="L172" s="11">
        <f>IF(F172="","",ROUND(H172*IF(J172="",1,J172),2))</f>
        <v/>
      </c>
      <c r="M172" s="12">
        <f>IF(A172="","",ROUNDUP(MONTH(A172)/3,0))</f>
        <v/>
      </c>
      <c r="N172" s="12">
        <f>IF(A172="","",MONTH(A172))</f>
        <v/>
      </c>
    </row>
    <row r="173">
      <c r="A173" s="9" t="n"/>
      <c r="B173" s="5" t="n"/>
      <c r="C173" s="5" t="n"/>
      <c r="D173" s="5" t="n"/>
      <c r="E173" s="5" t="n"/>
      <c r="F173" s="10" t="n"/>
      <c r="G173" s="6" t="n"/>
      <c r="H173" s="11">
        <f>IF(F173="","",ROUND(F173*N(G173),2))</f>
        <v/>
      </c>
      <c r="I173" s="11">
        <f>IF(F173="","",F173+H173)</f>
        <v/>
      </c>
      <c r="J173" s="6" t="n"/>
      <c r="K173" s="11">
        <f>IF(F173="","",ROUND(F173*IF(J173="",1,J173),2))</f>
        <v/>
      </c>
      <c r="L173" s="11">
        <f>IF(F173="","",ROUND(H173*IF(J173="",1,J173),2))</f>
        <v/>
      </c>
      <c r="M173" s="12">
        <f>IF(A173="","",ROUNDUP(MONTH(A173)/3,0))</f>
        <v/>
      </c>
      <c r="N173" s="12">
        <f>IF(A173="","",MONTH(A173))</f>
        <v/>
      </c>
    </row>
    <row r="174">
      <c r="A174" s="9" t="n"/>
      <c r="B174" s="5" t="n"/>
      <c r="C174" s="5" t="n"/>
      <c r="D174" s="5" t="n"/>
      <c r="E174" s="5" t="n"/>
      <c r="F174" s="10" t="n"/>
      <c r="G174" s="6" t="n"/>
      <c r="H174" s="11">
        <f>IF(F174="","",ROUND(F174*N(G174),2))</f>
        <v/>
      </c>
      <c r="I174" s="11">
        <f>IF(F174="","",F174+H174)</f>
        <v/>
      </c>
      <c r="J174" s="6" t="n"/>
      <c r="K174" s="11">
        <f>IF(F174="","",ROUND(F174*IF(J174="",1,J174),2))</f>
        <v/>
      </c>
      <c r="L174" s="11">
        <f>IF(F174="","",ROUND(H174*IF(J174="",1,J174),2))</f>
        <v/>
      </c>
      <c r="M174" s="12">
        <f>IF(A174="","",ROUNDUP(MONTH(A174)/3,0))</f>
        <v/>
      </c>
      <c r="N174" s="12">
        <f>IF(A174="","",MONTH(A174))</f>
        <v/>
      </c>
    </row>
    <row r="175">
      <c r="A175" s="9" t="n"/>
      <c r="B175" s="5" t="n"/>
      <c r="C175" s="5" t="n"/>
      <c r="D175" s="5" t="n"/>
      <c r="E175" s="5" t="n"/>
      <c r="F175" s="10" t="n"/>
      <c r="G175" s="6" t="n"/>
      <c r="H175" s="11">
        <f>IF(F175="","",ROUND(F175*N(G175),2))</f>
        <v/>
      </c>
      <c r="I175" s="11">
        <f>IF(F175="","",F175+H175)</f>
        <v/>
      </c>
      <c r="J175" s="6" t="n"/>
      <c r="K175" s="11">
        <f>IF(F175="","",ROUND(F175*IF(J175="",1,J175),2))</f>
        <v/>
      </c>
      <c r="L175" s="11">
        <f>IF(F175="","",ROUND(H175*IF(J175="",1,J175),2))</f>
        <v/>
      </c>
      <c r="M175" s="12">
        <f>IF(A175="","",ROUNDUP(MONTH(A175)/3,0))</f>
        <v/>
      </c>
      <c r="N175" s="12">
        <f>IF(A175="","",MONTH(A175))</f>
        <v/>
      </c>
    </row>
    <row r="176">
      <c r="A176" s="9" t="n"/>
      <c r="B176" s="5" t="n"/>
      <c r="C176" s="5" t="n"/>
      <c r="D176" s="5" t="n"/>
      <c r="E176" s="5" t="n"/>
      <c r="F176" s="10" t="n"/>
      <c r="G176" s="6" t="n"/>
      <c r="H176" s="11">
        <f>IF(F176="","",ROUND(F176*N(G176),2))</f>
        <v/>
      </c>
      <c r="I176" s="11">
        <f>IF(F176="","",F176+H176)</f>
        <v/>
      </c>
      <c r="J176" s="6" t="n"/>
      <c r="K176" s="11">
        <f>IF(F176="","",ROUND(F176*IF(J176="",1,J176),2))</f>
        <v/>
      </c>
      <c r="L176" s="11">
        <f>IF(F176="","",ROUND(H176*IF(J176="",1,J176),2))</f>
        <v/>
      </c>
      <c r="M176" s="12">
        <f>IF(A176="","",ROUNDUP(MONTH(A176)/3,0))</f>
        <v/>
      </c>
      <c r="N176" s="12">
        <f>IF(A176="","",MONTH(A176))</f>
        <v/>
      </c>
    </row>
    <row r="177">
      <c r="A177" s="9" t="n"/>
      <c r="B177" s="5" t="n"/>
      <c r="C177" s="5" t="n"/>
      <c r="D177" s="5" t="n"/>
      <c r="E177" s="5" t="n"/>
      <c r="F177" s="10" t="n"/>
      <c r="G177" s="6" t="n"/>
      <c r="H177" s="11">
        <f>IF(F177="","",ROUND(F177*N(G177),2))</f>
        <v/>
      </c>
      <c r="I177" s="11">
        <f>IF(F177="","",F177+H177)</f>
        <v/>
      </c>
      <c r="J177" s="6" t="n"/>
      <c r="K177" s="11">
        <f>IF(F177="","",ROUND(F177*IF(J177="",1,J177),2))</f>
        <v/>
      </c>
      <c r="L177" s="11">
        <f>IF(F177="","",ROUND(H177*IF(J177="",1,J177),2))</f>
        <v/>
      </c>
      <c r="M177" s="12">
        <f>IF(A177="","",ROUNDUP(MONTH(A177)/3,0))</f>
        <v/>
      </c>
      <c r="N177" s="12">
        <f>IF(A177="","",MONTH(A177))</f>
        <v/>
      </c>
    </row>
    <row r="178">
      <c r="A178" s="9" t="n"/>
      <c r="B178" s="5" t="n"/>
      <c r="C178" s="5" t="n"/>
      <c r="D178" s="5" t="n"/>
      <c r="E178" s="5" t="n"/>
      <c r="F178" s="10" t="n"/>
      <c r="G178" s="6" t="n"/>
      <c r="H178" s="11">
        <f>IF(F178="","",ROUND(F178*N(G178),2))</f>
        <v/>
      </c>
      <c r="I178" s="11">
        <f>IF(F178="","",F178+H178)</f>
        <v/>
      </c>
      <c r="J178" s="6" t="n"/>
      <c r="K178" s="11">
        <f>IF(F178="","",ROUND(F178*IF(J178="",1,J178),2))</f>
        <v/>
      </c>
      <c r="L178" s="11">
        <f>IF(F178="","",ROUND(H178*IF(J178="",1,J178),2))</f>
        <v/>
      </c>
      <c r="M178" s="12">
        <f>IF(A178="","",ROUNDUP(MONTH(A178)/3,0))</f>
        <v/>
      </c>
      <c r="N178" s="12">
        <f>IF(A178="","",MONTH(A178))</f>
        <v/>
      </c>
    </row>
    <row r="179">
      <c r="A179" s="9" t="n"/>
      <c r="B179" s="5" t="n"/>
      <c r="C179" s="5" t="n"/>
      <c r="D179" s="5" t="n"/>
      <c r="E179" s="5" t="n"/>
      <c r="F179" s="10" t="n"/>
      <c r="G179" s="6" t="n"/>
      <c r="H179" s="11">
        <f>IF(F179="","",ROUND(F179*N(G179),2))</f>
        <v/>
      </c>
      <c r="I179" s="11">
        <f>IF(F179="","",F179+H179)</f>
        <v/>
      </c>
      <c r="J179" s="6" t="n"/>
      <c r="K179" s="11">
        <f>IF(F179="","",ROUND(F179*IF(J179="",1,J179),2))</f>
        <v/>
      </c>
      <c r="L179" s="11">
        <f>IF(F179="","",ROUND(H179*IF(J179="",1,J179),2))</f>
        <v/>
      </c>
      <c r="M179" s="12">
        <f>IF(A179="","",ROUNDUP(MONTH(A179)/3,0))</f>
        <v/>
      </c>
      <c r="N179" s="12">
        <f>IF(A179="","",MONTH(A179))</f>
        <v/>
      </c>
    </row>
    <row r="180">
      <c r="A180" s="9" t="n"/>
      <c r="B180" s="5" t="n"/>
      <c r="C180" s="5" t="n"/>
      <c r="D180" s="5" t="n"/>
      <c r="E180" s="5" t="n"/>
      <c r="F180" s="10" t="n"/>
      <c r="G180" s="6" t="n"/>
      <c r="H180" s="11">
        <f>IF(F180="","",ROUND(F180*N(G180),2))</f>
        <v/>
      </c>
      <c r="I180" s="11">
        <f>IF(F180="","",F180+H180)</f>
        <v/>
      </c>
      <c r="J180" s="6" t="n"/>
      <c r="K180" s="11">
        <f>IF(F180="","",ROUND(F180*IF(J180="",1,J180),2))</f>
        <v/>
      </c>
      <c r="L180" s="11">
        <f>IF(F180="","",ROUND(H180*IF(J180="",1,J180),2))</f>
        <v/>
      </c>
      <c r="M180" s="12">
        <f>IF(A180="","",ROUNDUP(MONTH(A180)/3,0))</f>
        <v/>
      </c>
      <c r="N180" s="12">
        <f>IF(A180="","",MONTH(A180))</f>
        <v/>
      </c>
    </row>
    <row r="181">
      <c r="A181" s="9" t="n"/>
      <c r="B181" s="5" t="n"/>
      <c r="C181" s="5" t="n"/>
      <c r="D181" s="5" t="n"/>
      <c r="E181" s="5" t="n"/>
      <c r="F181" s="10" t="n"/>
      <c r="G181" s="6" t="n"/>
      <c r="H181" s="11">
        <f>IF(F181="","",ROUND(F181*N(G181),2))</f>
        <v/>
      </c>
      <c r="I181" s="11">
        <f>IF(F181="","",F181+H181)</f>
        <v/>
      </c>
      <c r="J181" s="6" t="n"/>
      <c r="K181" s="11">
        <f>IF(F181="","",ROUND(F181*IF(J181="",1,J181),2))</f>
        <v/>
      </c>
      <c r="L181" s="11">
        <f>IF(F181="","",ROUND(H181*IF(J181="",1,J181),2))</f>
        <v/>
      </c>
      <c r="M181" s="12">
        <f>IF(A181="","",ROUNDUP(MONTH(A181)/3,0))</f>
        <v/>
      </c>
      <c r="N181" s="12">
        <f>IF(A181="","",MONTH(A181))</f>
        <v/>
      </c>
    </row>
    <row r="182">
      <c r="A182" s="9" t="n"/>
      <c r="B182" s="5" t="n"/>
      <c r="C182" s="5" t="n"/>
      <c r="D182" s="5" t="n"/>
      <c r="E182" s="5" t="n"/>
      <c r="F182" s="10" t="n"/>
      <c r="G182" s="6" t="n"/>
      <c r="H182" s="11">
        <f>IF(F182="","",ROUND(F182*N(G182),2))</f>
        <v/>
      </c>
      <c r="I182" s="11">
        <f>IF(F182="","",F182+H182)</f>
        <v/>
      </c>
      <c r="J182" s="6" t="n"/>
      <c r="K182" s="11">
        <f>IF(F182="","",ROUND(F182*IF(J182="",1,J182),2))</f>
        <v/>
      </c>
      <c r="L182" s="11">
        <f>IF(F182="","",ROUND(H182*IF(J182="",1,J182),2))</f>
        <v/>
      </c>
      <c r="M182" s="12">
        <f>IF(A182="","",ROUNDUP(MONTH(A182)/3,0))</f>
        <v/>
      </c>
      <c r="N182" s="12">
        <f>IF(A182="","",MONTH(A182))</f>
        <v/>
      </c>
    </row>
    <row r="183">
      <c r="A183" s="9" t="n"/>
      <c r="B183" s="5" t="n"/>
      <c r="C183" s="5" t="n"/>
      <c r="D183" s="5" t="n"/>
      <c r="E183" s="5" t="n"/>
      <c r="F183" s="10" t="n"/>
      <c r="G183" s="6" t="n"/>
      <c r="H183" s="11">
        <f>IF(F183="","",ROUND(F183*N(G183),2))</f>
        <v/>
      </c>
      <c r="I183" s="11">
        <f>IF(F183="","",F183+H183)</f>
        <v/>
      </c>
      <c r="J183" s="6" t="n"/>
      <c r="K183" s="11">
        <f>IF(F183="","",ROUND(F183*IF(J183="",1,J183),2))</f>
        <v/>
      </c>
      <c r="L183" s="11">
        <f>IF(F183="","",ROUND(H183*IF(J183="",1,J183),2))</f>
        <v/>
      </c>
      <c r="M183" s="12">
        <f>IF(A183="","",ROUNDUP(MONTH(A183)/3,0))</f>
        <v/>
      </c>
      <c r="N183" s="12">
        <f>IF(A183="","",MONTH(A183))</f>
        <v/>
      </c>
    </row>
    <row r="184">
      <c r="A184" s="9" t="n"/>
      <c r="B184" s="5" t="n"/>
      <c r="C184" s="5" t="n"/>
      <c r="D184" s="5" t="n"/>
      <c r="E184" s="5" t="n"/>
      <c r="F184" s="10" t="n"/>
      <c r="G184" s="6" t="n"/>
      <c r="H184" s="11">
        <f>IF(F184="","",ROUND(F184*N(G184),2))</f>
        <v/>
      </c>
      <c r="I184" s="11">
        <f>IF(F184="","",F184+H184)</f>
        <v/>
      </c>
      <c r="J184" s="6" t="n"/>
      <c r="K184" s="11">
        <f>IF(F184="","",ROUND(F184*IF(J184="",1,J184),2))</f>
        <v/>
      </c>
      <c r="L184" s="11">
        <f>IF(F184="","",ROUND(H184*IF(J184="",1,J184),2))</f>
        <v/>
      </c>
      <c r="M184" s="12">
        <f>IF(A184="","",ROUNDUP(MONTH(A184)/3,0))</f>
        <v/>
      </c>
      <c r="N184" s="12">
        <f>IF(A184="","",MONTH(A184))</f>
        <v/>
      </c>
    </row>
    <row r="185">
      <c r="A185" s="9" t="n"/>
      <c r="B185" s="5" t="n"/>
      <c r="C185" s="5" t="n"/>
      <c r="D185" s="5" t="n"/>
      <c r="E185" s="5" t="n"/>
      <c r="F185" s="10" t="n"/>
      <c r="G185" s="6" t="n"/>
      <c r="H185" s="11">
        <f>IF(F185="","",ROUND(F185*N(G185),2))</f>
        <v/>
      </c>
      <c r="I185" s="11">
        <f>IF(F185="","",F185+H185)</f>
        <v/>
      </c>
      <c r="J185" s="6" t="n"/>
      <c r="K185" s="11">
        <f>IF(F185="","",ROUND(F185*IF(J185="",1,J185),2))</f>
        <v/>
      </c>
      <c r="L185" s="11">
        <f>IF(F185="","",ROUND(H185*IF(J185="",1,J185),2))</f>
        <v/>
      </c>
      <c r="M185" s="12">
        <f>IF(A185="","",ROUNDUP(MONTH(A185)/3,0))</f>
        <v/>
      </c>
      <c r="N185" s="12">
        <f>IF(A185="","",MONTH(A185))</f>
        <v/>
      </c>
    </row>
    <row r="186">
      <c r="A186" s="9" t="n"/>
      <c r="B186" s="5" t="n"/>
      <c r="C186" s="5" t="n"/>
      <c r="D186" s="5" t="n"/>
      <c r="E186" s="5" t="n"/>
      <c r="F186" s="10" t="n"/>
      <c r="G186" s="6" t="n"/>
      <c r="H186" s="11">
        <f>IF(F186="","",ROUND(F186*N(G186),2))</f>
        <v/>
      </c>
      <c r="I186" s="11">
        <f>IF(F186="","",F186+H186)</f>
        <v/>
      </c>
      <c r="J186" s="6" t="n"/>
      <c r="K186" s="11">
        <f>IF(F186="","",ROUND(F186*IF(J186="",1,J186),2))</f>
        <v/>
      </c>
      <c r="L186" s="11">
        <f>IF(F186="","",ROUND(H186*IF(J186="",1,J186),2))</f>
        <v/>
      </c>
      <c r="M186" s="12">
        <f>IF(A186="","",ROUNDUP(MONTH(A186)/3,0))</f>
        <v/>
      </c>
      <c r="N186" s="12">
        <f>IF(A186="","",MONTH(A186))</f>
        <v/>
      </c>
    </row>
    <row r="187">
      <c r="A187" s="9" t="n"/>
      <c r="B187" s="5" t="n"/>
      <c r="C187" s="5" t="n"/>
      <c r="D187" s="5" t="n"/>
      <c r="E187" s="5" t="n"/>
      <c r="F187" s="10" t="n"/>
      <c r="G187" s="6" t="n"/>
      <c r="H187" s="11">
        <f>IF(F187="","",ROUND(F187*N(G187),2))</f>
        <v/>
      </c>
      <c r="I187" s="11">
        <f>IF(F187="","",F187+H187)</f>
        <v/>
      </c>
      <c r="J187" s="6" t="n"/>
      <c r="K187" s="11">
        <f>IF(F187="","",ROUND(F187*IF(J187="",1,J187),2))</f>
        <v/>
      </c>
      <c r="L187" s="11">
        <f>IF(F187="","",ROUND(H187*IF(J187="",1,J187),2))</f>
        <v/>
      </c>
      <c r="M187" s="12">
        <f>IF(A187="","",ROUNDUP(MONTH(A187)/3,0))</f>
        <v/>
      </c>
      <c r="N187" s="12">
        <f>IF(A187="","",MONTH(A187))</f>
        <v/>
      </c>
    </row>
    <row r="188">
      <c r="A188" s="9" t="n"/>
      <c r="B188" s="5" t="n"/>
      <c r="C188" s="5" t="n"/>
      <c r="D188" s="5" t="n"/>
      <c r="E188" s="5" t="n"/>
      <c r="F188" s="10" t="n"/>
      <c r="G188" s="6" t="n"/>
      <c r="H188" s="11">
        <f>IF(F188="","",ROUND(F188*N(G188),2))</f>
        <v/>
      </c>
      <c r="I188" s="11">
        <f>IF(F188="","",F188+H188)</f>
        <v/>
      </c>
      <c r="J188" s="6" t="n"/>
      <c r="K188" s="11">
        <f>IF(F188="","",ROUND(F188*IF(J188="",1,J188),2))</f>
        <v/>
      </c>
      <c r="L188" s="11">
        <f>IF(F188="","",ROUND(H188*IF(J188="",1,J188),2))</f>
        <v/>
      </c>
      <c r="M188" s="12">
        <f>IF(A188="","",ROUNDUP(MONTH(A188)/3,0))</f>
        <v/>
      </c>
      <c r="N188" s="12">
        <f>IF(A188="","",MONTH(A188))</f>
        <v/>
      </c>
    </row>
    <row r="189">
      <c r="A189" s="9" t="n"/>
      <c r="B189" s="5" t="n"/>
      <c r="C189" s="5" t="n"/>
      <c r="D189" s="5" t="n"/>
      <c r="E189" s="5" t="n"/>
      <c r="F189" s="10" t="n"/>
      <c r="G189" s="6" t="n"/>
      <c r="H189" s="11">
        <f>IF(F189="","",ROUND(F189*N(G189),2))</f>
        <v/>
      </c>
      <c r="I189" s="11">
        <f>IF(F189="","",F189+H189)</f>
        <v/>
      </c>
      <c r="J189" s="6" t="n"/>
      <c r="K189" s="11">
        <f>IF(F189="","",ROUND(F189*IF(J189="",1,J189),2))</f>
        <v/>
      </c>
      <c r="L189" s="11">
        <f>IF(F189="","",ROUND(H189*IF(J189="",1,J189),2))</f>
        <v/>
      </c>
      <c r="M189" s="12">
        <f>IF(A189="","",ROUNDUP(MONTH(A189)/3,0))</f>
        <v/>
      </c>
      <c r="N189" s="12">
        <f>IF(A189="","",MONTH(A189))</f>
        <v/>
      </c>
    </row>
    <row r="190">
      <c r="A190" s="9" t="n"/>
      <c r="B190" s="5" t="n"/>
      <c r="C190" s="5" t="n"/>
      <c r="D190" s="5" t="n"/>
      <c r="E190" s="5" t="n"/>
      <c r="F190" s="10" t="n"/>
      <c r="G190" s="6" t="n"/>
      <c r="H190" s="11">
        <f>IF(F190="","",ROUND(F190*N(G190),2))</f>
        <v/>
      </c>
      <c r="I190" s="11">
        <f>IF(F190="","",F190+H190)</f>
        <v/>
      </c>
      <c r="J190" s="6" t="n"/>
      <c r="K190" s="11">
        <f>IF(F190="","",ROUND(F190*IF(J190="",1,J190),2))</f>
        <v/>
      </c>
      <c r="L190" s="11">
        <f>IF(F190="","",ROUND(H190*IF(J190="",1,J190),2))</f>
        <v/>
      </c>
      <c r="M190" s="12">
        <f>IF(A190="","",ROUNDUP(MONTH(A190)/3,0))</f>
        <v/>
      </c>
      <c r="N190" s="12">
        <f>IF(A190="","",MONTH(A190))</f>
        <v/>
      </c>
    </row>
    <row r="191">
      <c r="A191" s="9" t="n"/>
      <c r="B191" s="5" t="n"/>
      <c r="C191" s="5" t="n"/>
      <c r="D191" s="5" t="n"/>
      <c r="E191" s="5" t="n"/>
      <c r="F191" s="10" t="n"/>
      <c r="G191" s="6" t="n"/>
      <c r="H191" s="11">
        <f>IF(F191="","",ROUND(F191*N(G191),2))</f>
        <v/>
      </c>
      <c r="I191" s="11">
        <f>IF(F191="","",F191+H191)</f>
        <v/>
      </c>
      <c r="J191" s="6" t="n"/>
      <c r="K191" s="11">
        <f>IF(F191="","",ROUND(F191*IF(J191="",1,J191),2))</f>
        <v/>
      </c>
      <c r="L191" s="11">
        <f>IF(F191="","",ROUND(H191*IF(J191="",1,J191),2))</f>
        <v/>
      </c>
      <c r="M191" s="12">
        <f>IF(A191="","",ROUNDUP(MONTH(A191)/3,0))</f>
        <v/>
      </c>
      <c r="N191" s="12">
        <f>IF(A191="","",MONTH(A191))</f>
        <v/>
      </c>
    </row>
    <row r="192">
      <c r="A192" s="9" t="n"/>
      <c r="B192" s="5" t="n"/>
      <c r="C192" s="5" t="n"/>
      <c r="D192" s="5" t="n"/>
      <c r="E192" s="5" t="n"/>
      <c r="F192" s="10" t="n"/>
      <c r="G192" s="6" t="n"/>
      <c r="H192" s="11">
        <f>IF(F192="","",ROUND(F192*N(G192),2))</f>
        <v/>
      </c>
      <c r="I192" s="11">
        <f>IF(F192="","",F192+H192)</f>
        <v/>
      </c>
      <c r="J192" s="6" t="n"/>
      <c r="K192" s="11">
        <f>IF(F192="","",ROUND(F192*IF(J192="",1,J192),2))</f>
        <v/>
      </c>
      <c r="L192" s="11">
        <f>IF(F192="","",ROUND(H192*IF(J192="",1,J192),2))</f>
        <v/>
      </c>
      <c r="M192" s="12">
        <f>IF(A192="","",ROUNDUP(MONTH(A192)/3,0))</f>
        <v/>
      </c>
      <c r="N192" s="12">
        <f>IF(A192="","",MONTH(A192))</f>
        <v/>
      </c>
    </row>
    <row r="193">
      <c r="A193" s="9" t="n"/>
      <c r="B193" s="5" t="n"/>
      <c r="C193" s="5" t="n"/>
      <c r="D193" s="5" t="n"/>
      <c r="E193" s="5" t="n"/>
      <c r="F193" s="10" t="n"/>
      <c r="G193" s="6" t="n"/>
      <c r="H193" s="11">
        <f>IF(F193="","",ROUND(F193*N(G193),2))</f>
        <v/>
      </c>
      <c r="I193" s="11">
        <f>IF(F193="","",F193+H193)</f>
        <v/>
      </c>
      <c r="J193" s="6" t="n"/>
      <c r="K193" s="11">
        <f>IF(F193="","",ROUND(F193*IF(J193="",1,J193),2))</f>
        <v/>
      </c>
      <c r="L193" s="11">
        <f>IF(F193="","",ROUND(H193*IF(J193="",1,J193),2))</f>
        <v/>
      </c>
      <c r="M193" s="12">
        <f>IF(A193="","",ROUNDUP(MONTH(A193)/3,0))</f>
        <v/>
      </c>
      <c r="N193" s="12">
        <f>IF(A193="","",MONTH(A193))</f>
        <v/>
      </c>
    </row>
    <row r="194">
      <c r="A194" s="9" t="n"/>
      <c r="B194" s="5" t="n"/>
      <c r="C194" s="5" t="n"/>
      <c r="D194" s="5" t="n"/>
      <c r="E194" s="5" t="n"/>
      <c r="F194" s="10" t="n"/>
      <c r="G194" s="6" t="n"/>
      <c r="H194" s="11">
        <f>IF(F194="","",ROUND(F194*N(G194),2))</f>
        <v/>
      </c>
      <c r="I194" s="11">
        <f>IF(F194="","",F194+H194)</f>
        <v/>
      </c>
      <c r="J194" s="6" t="n"/>
      <c r="K194" s="11">
        <f>IF(F194="","",ROUND(F194*IF(J194="",1,J194),2))</f>
        <v/>
      </c>
      <c r="L194" s="11">
        <f>IF(F194="","",ROUND(H194*IF(J194="",1,J194),2))</f>
        <v/>
      </c>
      <c r="M194" s="12">
        <f>IF(A194="","",ROUNDUP(MONTH(A194)/3,0))</f>
        <v/>
      </c>
      <c r="N194" s="12">
        <f>IF(A194="","",MONTH(A194))</f>
        <v/>
      </c>
    </row>
    <row r="195">
      <c r="A195" s="9" t="n"/>
      <c r="B195" s="5" t="n"/>
      <c r="C195" s="5" t="n"/>
      <c r="D195" s="5" t="n"/>
      <c r="E195" s="5" t="n"/>
      <c r="F195" s="10" t="n"/>
      <c r="G195" s="6" t="n"/>
      <c r="H195" s="11">
        <f>IF(F195="","",ROUND(F195*N(G195),2))</f>
        <v/>
      </c>
      <c r="I195" s="11">
        <f>IF(F195="","",F195+H195)</f>
        <v/>
      </c>
      <c r="J195" s="6" t="n"/>
      <c r="K195" s="11">
        <f>IF(F195="","",ROUND(F195*IF(J195="",1,J195),2))</f>
        <v/>
      </c>
      <c r="L195" s="11">
        <f>IF(F195="","",ROUND(H195*IF(J195="",1,J195),2))</f>
        <v/>
      </c>
      <c r="M195" s="12">
        <f>IF(A195="","",ROUNDUP(MONTH(A195)/3,0))</f>
        <v/>
      </c>
      <c r="N195" s="12">
        <f>IF(A195="","",MONTH(A195))</f>
        <v/>
      </c>
    </row>
    <row r="196">
      <c r="A196" s="9" t="n"/>
      <c r="B196" s="5" t="n"/>
      <c r="C196" s="5" t="n"/>
      <c r="D196" s="5" t="n"/>
      <c r="E196" s="5" t="n"/>
      <c r="F196" s="10" t="n"/>
      <c r="G196" s="6" t="n"/>
      <c r="H196" s="11">
        <f>IF(F196="","",ROUND(F196*N(G196),2))</f>
        <v/>
      </c>
      <c r="I196" s="11">
        <f>IF(F196="","",F196+H196)</f>
        <v/>
      </c>
      <c r="J196" s="6" t="n"/>
      <c r="K196" s="11">
        <f>IF(F196="","",ROUND(F196*IF(J196="",1,J196),2))</f>
        <v/>
      </c>
      <c r="L196" s="11">
        <f>IF(F196="","",ROUND(H196*IF(J196="",1,J196),2))</f>
        <v/>
      </c>
      <c r="M196" s="12">
        <f>IF(A196="","",ROUNDUP(MONTH(A196)/3,0))</f>
        <v/>
      </c>
      <c r="N196" s="12">
        <f>IF(A196="","",MONTH(A196))</f>
        <v/>
      </c>
    </row>
    <row r="197">
      <c r="A197" s="9" t="n"/>
      <c r="B197" s="5" t="n"/>
      <c r="C197" s="5" t="n"/>
      <c r="D197" s="5" t="n"/>
      <c r="E197" s="5" t="n"/>
      <c r="F197" s="10" t="n"/>
      <c r="G197" s="6" t="n"/>
      <c r="H197" s="11">
        <f>IF(F197="","",ROUND(F197*N(G197),2))</f>
        <v/>
      </c>
      <c r="I197" s="11">
        <f>IF(F197="","",F197+H197)</f>
        <v/>
      </c>
      <c r="J197" s="6" t="n"/>
      <c r="K197" s="11">
        <f>IF(F197="","",ROUND(F197*IF(J197="",1,J197),2))</f>
        <v/>
      </c>
      <c r="L197" s="11">
        <f>IF(F197="","",ROUND(H197*IF(J197="",1,J197),2))</f>
        <v/>
      </c>
      <c r="M197" s="12">
        <f>IF(A197="","",ROUNDUP(MONTH(A197)/3,0))</f>
        <v/>
      </c>
      <c r="N197" s="12">
        <f>IF(A197="","",MONTH(A197))</f>
        <v/>
      </c>
    </row>
    <row r="198">
      <c r="A198" s="9" t="n"/>
      <c r="B198" s="5" t="n"/>
      <c r="C198" s="5" t="n"/>
      <c r="D198" s="5" t="n"/>
      <c r="E198" s="5" t="n"/>
      <c r="F198" s="10" t="n"/>
      <c r="G198" s="6" t="n"/>
      <c r="H198" s="11">
        <f>IF(F198="","",ROUND(F198*N(G198),2))</f>
        <v/>
      </c>
      <c r="I198" s="11">
        <f>IF(F198="","",F198+H198)</f>
        <v/>
      </c>
      <c r="J198" s="6" t="n"/>
      <c r="K198" s="11">
        <f>IF(F198="","",ROUND(F198*IF(J198="",1,J198),2))</f>
        <v/>
      </c>
      <c r="L198" s="11">
        <f>IF(F198="","",ROUND(H198*IF(J198="",1,J198),2))</f>
        <v/>
      </c>
      <c r="M198" s="12">
        <f>IF(A198="","",ROUNDUP(MONTH(A198)/3,0))</f>
        <v/>
      </c>
      <c r="N198" s="12">
        <f>IF(A198="","",MONTH(A198))</f>
        <v/>
      </c>
    </row>
    <row r="199">
      <c r="A199" s="9" t="n"/>
      <c r="B199" s="5" t="n"/>
      <c r="C199" s="5" t="n"/>
      <c r="D199" s="5" t="n"/>
      <c r="E199" s="5" t="n"/>
      <c r="F199" s="10" t="n"/>
      <c r="G199" s="6" t="n"/>
      <c r="H199" s="11">
        <f>IF(F199="","",ROUND(F199*N(G199),2))</f>
        <v/>
      </c>
      <c r="I199" s="11">
        <f>IF(F199="","",F199+H199)</f>
        <v/>
      </c>
      <c r="J199" s="6" t="n"/>
      <c r="K199" s="11">
        <f>IF(F199="","",ROUND(F199*IF(J199="",1,J199),2))</f>
        <v/>
      </c>
      <c r="L199" s="11">
        <f>IF(F199="","",ROUND(H199*IF(J199="",1,J199),2))</f>
        <v/>
      </c>
      <c r="M199" s="12">
        <f>IF(A199="","",ROUNDUP(MONTH(A199)/3,0))</f>
        <v/>
      </c>
      <c r="N199" s="12">
        <f>IF(A199="","",MONTH(A199))</f>
        <v/>
      </c>
    </row>
    <row r="200">
      <c r="A200" s="9" t="n"/>
      <c r="B200" s="5" t="n"/>
      <c r="C200" s="5" t="n"/>
      <c r="D200" s="5" t="n"/>
      <c r="E200" s="5" t="n"/>
      <c r="F200" s="10" t="n"/>
      <c r="G200" s="6" t="n"/>
      <c r="H200" s="11">
        <f>IF(F200="","",ROUND(F200*N(G200),2))</f>
        <v/>
      </c>
      <c r="I200" s="11">
        <f>IF(F200="","",F200+H200)</f>
        <v/>
      </c>
      <c r="J200" s="6" t="n"/>
      <c r="K200" s="11">
        <f>IF(F200="","",ROUND(F200*IF(J200="",1,J200),2))</f>
        <v/>
      </c>
      <c r="L200" s="11">
        <f>IF(F200="","",ROUND(H200*IF(J200="",1,J200),2))</f>
        <v/>
      </c>
      <c r="M200" s="12">
        <f>IF(A200="","",ROUNDUP(MONTH(A200)/3,0))</f>
        <v/>
      </c>
      <c r="N200" s="12">
        <f>IF(A200="","",MONTH(A200))</f>
        <v/>
      </c>
    </row>
    <row r="201">
      <c r="A201" s="9" t="n"/>
      <c r="B201" s="5" t="n"/>
      <c r="C201" s="5" t="n"/>
      <c r="D201" s="5" t="n"/>
      <c r="E201" s="5" t="n"/>
      <c r="F201" s="10" t="n"/>
      <c r="G201" s="6" t="n"/>
      <c r="H201" s="11">
        <f>IF(F201="","",ROUND(F201*N(G201),2))</f>
        <v/>
      </c>
      <c r="I201" s="11">
        <f>IF(F201="","",F201+H201)</f>
        <v/>
      </c>
      <c r="J201" s="6" t="n"/>
      <c r="K201" s="11">
        <f>IF(F201="","",ROUND(F201*IF(J201="",1,J201),2))</f>
        <v/>
      </c>
      <c r="L201" s="11">
        <f>IF(F201="","",ROUND(H201*IF(J201="",1,J201),2))</f>
        <v/>
      </c>
      <c r="M201" s="12">
        <f>IF(A201="","",ROUNDUP(MONTH(A201)/3,0))</f>
        <v/>
      </c>
      <c r="N201" s="12">
        <f>IF(A201="","",MONTH(A201))</f>
        <v/>
      </c>
    </row>
    <row r="202">
      <c r="A202" s="9" t="n"/>
      <c r="B202" s="5" t="n"/>
      <c r="C202" s="5" t="n"/>
      <c r="D202" s="5" t="n"/>
      <c r="E202" s="5" t="n"/>
      <c r="F202" s="10" t="n"/>
      <c r="G202" s="6" t="n"/>
      <c r="H202" s="11">
        <f>IF(F202="","",ROUND(F202*N(G202),2))</f>
        <v/>
      </c>
      <c r="I202" s="11">
        <f>IF(F202="","",F202+H202)</f>
        <v/>
      </c>
      <c r="J202" s="6" t="n"/>
      <c r="K202" s="11">
        <f>IF(F202="","",ROUND(F202*IF(J202="",1,J202),2))</f>
        <v/>
      </c>
      <c r="L202" s="11">
        <f>IF(F202="","",ROUND(H202*IF(J202="",1,J202),2))</f>
        <v/>
      </c>
      <c r="M202" s="12">
        <f>IF(A202="","",ROUNDUP(MONTH(A202)/3,0))</f>
        <v/>
      </c>
      <c r="N202" s="12">
        <f>IF(A202="","",MONTH(A202))</f>
        <v/>
      </c>
    </row>
    <row r="203">
      <c r="A203" s="9" t="n"/>
      <c r="B203" s="5" t="n"/>
      <c r="C203" s="5" t="n"/>
      <c r="D203" s="5" t="n"/>
      <c r="E203" s="5" t="n"/>
      <c r="F203" s="10" t="n"/>
      <c r="G203" s="6" t="n"/>
      <c r="H203" s="11">
        <f>IF(F203="","",ROUND(F203*N(G203),2))</f>
        <v/>
      </c>
      <c r="I203" s="11">
        <f>IF(F203="","",F203+H203)</f>
        <v/>
      </c>
      <c r="J203" s="6" t="n"/>
      <c r="K203" s="11">
        <f>IF(F203="","",ROUND(F203*IF(J203="",1,J203),2))</f>
        <v/>
      </c>
      <c r="L203" s="11">
        <f>IF(F203="","",ROUND(H203*IF(J203="",1,J203),2))</f>
        <v/>
      </c>
      <c r="M203" s="12">
        <f>IF(A203="","",ROUNDUP(MONTH(A203)/3,0))</f>
        <v/>
      </c>
      <c r="N203" s="12">
        <f>IF(A203="","",MONTH(A203))</f>
        <v/>
      </c>
    </row>
    <row r="204">
      <c r="A204" s="9" t="n"/>
      <c r="B204" s="5" t="n"/>
      <c r="C204" s="5" t="n"/>
      <c r="D204" s="5" t="n"/>
      <c r="E204" s="5" t="n"/>
      <c r="F204" s="10" t="n"/>
      <c r="G204" s="6" t="n"/>
      <c r="H204" s="11">
        <f>IF(F204="","",ROUND(F204*N(G204),2))</f>
        <v/>
      </c>
      <c r="I204" s="11">
        <f>IF(F204="","",F204+H204)</f>
        <v/>
      </c>
      <c r="J204" s="6" t="n"/>
      <c r="K204" s="11">
        <f>IF(F204="","",ROUND(F204*IF(J204="",1,J204),2))</f>
        <v/>
      </c>
      <c r="L204" s="11">
        <f>IF(F204="","",ROUND(H204*IF(J204="",1,J204),2))</f>
        <v/>
      </c>
      <c r="M204" s="12">
        <f>IF(A204="","",ROUNDUP(MONTH(A204)/3,0))</f>
        <v/>
      </c>
      <c r="N204" s="12">
        <f>IF(A204="","",MONTH(A204))</f>
        <v/>
      </c>
    </row>
    <row r="205">
      <c r="A205" s="9" t="n"/>
      <c r="B205" s="5" t="n"/>
      <c r="C205" s="5" t="n"/>
      <c r="D205" s="5" t="n"/>
      <c r="E205" s="5" t="n"/>
      <c r="F205" s="10" t="n"/>
      <c r="G205" s="6" t="n"/>
      <c r="H205" s="11">
        <f>IF(F205="","",ROUND(F205*N(G205),2))</f>
        <v/>
      </c>
      <c r="I205" s="11">
        <f>IF(F205="","",F205+H205)</f>
        <v/>
      </c>
      <c r="J205" s="6" t="n"/>
      <c r="K205" s="11">
        <f>IF(F205="","",ROUND(F205*IF(J205="",1,J205),2))</f>
        <v/>
      </c>
      <c r="L205" s="11">
        <f>IF(F205="","",ROUND(H205*IF(J205="",1,J205),2))</f>
        <v/>
      </c>
      <c r="M205" s="12">
        <f>IF(A205="","",ROUNDUP(MONTH(A205)/3,0))</f>
        <v/>
      </c>
      <c r="N205" s="12">
        <f>IF(A205="","",MONTH(A205))</f>
        <v/>
      </c>
    </row>
    <row r="206">
      <c r="A206" s="9" t="n"/>
      <c r="B206" s="5" t="n"/>
      <c r="C206" s="5" t="n"/>
      <c r="D206" s="5" t="n"/>
      <c r="E206" s="5" t="n"/>
      <c r="F206" s="10" t="n"/>
      <c r="G206" s="6" t="n"/>
      <c r="H206" s="11">
        <f>IF(F206="","",ROUND(F206*N(G206),2))</f>
        <v/>
      </c>
      <c r="I206" s="11">
        <f>IF(F206="","",F206+H206)</f>
        <v/>
      </c>
      <c r="J206" s="6" t="n"/>
      <c r="K206" s="11">
        <f>IF(F206="","",ROUND(F206*IF(J206="",1,J206),2))</f>
        <v/>
      </c>
      <c r="L206" s="11">
        <f>IF(F206="","",ROUND(H206*IF(J206="",1,J206),2))</f>
        <v/>
      </c>
      <c r="M206" s="12">
        <f>IF(A206="","",ROUNDUP(MONTH(A206)/3,0))</f>
        <v/>
      </c>
      <c r="N206" s="12">
        <f>IF(A206="","",MONTH(A206))</f>
        <v/>
      </c>
    </row>
    <row r="207">
      <c r="A207" s="9" t="n"/>
      <c r="B207" s="5" t="n"/>
      <c r="C207" s="5" t="n"/>
      <c r="D207" s="5" t="n"/>
      <c r="E207" s="5" t="n"/>
      <c r="F207" s="10" t="n"/>
      <c r="G207" s="6" t="n"/>
      <c r="H207" s="11">
        <f>IF(F207="","",ROUND(F207*N(G207),2))</f>
        <v/>
      </c>
      <c r="I207" s="11">
        <f>IF(F207="","",F207+H207)</f>
        <v/>
      </c>
      <c r="J207" s="6" t="n"/>
      <c r="K207" s="11">
        <f>IF(F207="","",ROUND(F207*IF(J207="",1,J207),2))</f>
        <v/>
      </c>
      <c r="L207" s="11">
        <f>IF(F207="","",ROUND(H207*IF(J207="",1,J207),2))</f>
        <v/>
      </c>
      <c r="M207" s="12">
        <f>IF(A207="","",ROUNDUP(MONTH(A207)/3,0))</f>
        <v/>
      </c>
      <c r="N207" s="12">
        <f>IF(A207="","",MONTH(A207))</f>
        <v/>
      </c>
    </row>
    <row r="208">
      <c r="A208" s="9" t="n"/>
      <c r="B208" s="5" t="n"/>
      <c r="C208" s="5" t="n"/>
      <c r="D208" s="5" t="n"/>
      <c r="E208" s="5" t="n"/>
      <c r="F208" s="10" t="n"/>
      <c r="G208" s="6" t="n"/>
      <c r="H208" s="11">
        <f>IF(F208="","",ROUND(F208*N(G208),2))</f>
        <v/>
      </c>
      <c r="I208" s="11">
        <f>IF(F208="","",F208+H208)</f>
        <v/>
      </c>
      <c r="J208" s="6" t="n"/>
      <c r="K208" s="11">
        <f>IF(F208="","",ROUND(F208*IF(J208="",1,J208),2))</f>
        <v/>
      </c>
      <c r="L208" s="11">
        <f>IF(F208="","",ROUND(H208*IF(J208="",1,J208),2))</f>
        <v/>
      </c>
      <c r="M208" s="12">
        <f>IF(A208="","",ROUNDUP(MONTH(A208)/3,0))</f>
        <v/>
      </c>
      <c r="N208" s="12">
        <f>IF(A208="","",MONTH(A208))</f>
        <v/>
      </c>
    </row>
    <row r="209">
      <c r="A209" s="9" t="n"/>
      <c r="B209" s="5" t="n"/>
      <c r="C209" s="5" t="n"/>
      <c r="D209" s="5" t="n"/>
      <c r="E209" s="5" t="n"/>
      <c r="F209" s="10" t="n"/>
      <c r="G209" s="6" t="n"/>
      <c r="H209" s="11">
        <f>IF(F209="","",ROUND(F209*N(G209),2))</f>
        <v/>
      </c>
      <c r="I209" s="11">
        <f>IF(F209="","",F209+H209)</f>
        <v/>
      </c>
      <c r="J209" s="6" t="n"/>
      <c r="K209" s="11">
        <f>IF(F209="","",ROUND(F209*IF(J209="",1,J209),2))</f>
        <v/>
      </c>
      <c r="L209" s="11">
        <f>IF(F209="","",ROUND(H209*IF(J209="",1,J209),2))</f>
        <v/>
      </c>
      <c r="M209" s="12">
        <f>IF(A209="","",ROUNDUP(MONTH(A209)/3,0))</f>
        <v/>
      </c>
      <c r="N209" s="12">
        <f>IF(A209="","",MONTH(A209))</f>
        <v/>
      </c>
    </row>
    <row r="210">
      <c r="A210" s="9" t="n"/>
      <c r="B210" s="5" t="n"/>
      <c r="C210" s="5" t="n"/>
      <c r="D210" s="5" t="n"/>
      <c r="E210" s="5" t="n"/>
      <c r="F210" s="10" t="n"/>
      <c r="G210" s="6" t="n"/>
      <c r="H210" s="11">
        <f>IF(F210="","",ROUND(F210*N(G210),2))</f>
        <v/>
      </c>
      <c r="I210" s="11">
        <f>IF(F210="","",F210+H210)</f>
        <v/>
      </c>
      <c r="J210" s="6" t="n"/>
      <c r="K210" s="11">
        <f>IF(F210="","",ROUND(F210*IF(J210="",1,J210),2))</f>
        <v/>
      </c>
      <c r="L210" s="11">
        <f>IF(F210="","",ROUND(H210*IF(J210="",1,J210),2))</f>
        <v/>
      </c>
      <c r="M210" s="12">
        <f>IF(A210="","",ROUNDUP(MONTH(A210)/3,0))</f>
        <v/>
      </c>
      <c r="N210" s="12">
        <f>IF(A210="","",MONTH(A210))</f>
        <v/>
      </c>
    </row>
    <row r="211">
      <c r="A211" s="9" t="n"/>
      <c r="B211" s="5" t="n"/>
      <c r="C211" s="5" t="n"/>
      <c r="D211" s="5" t="n"/>
      <c r="E211" s="5" t="n"/>
      <c r="F211" s="10" t="n"/>
      <c r="G211" s="6" t="n"/>
      <c r="H211" s="11">
        <f>IF(F211="","",ROUND(F211*N(G211),2))</f>
        <v/>
      </c>
      <c r="I211" s="11">
        <f>IF(F211="","",F211+H211)</f>
        <v/>
      </c>
      <c r="J211" s="6" t="n"/>
      <c r="K211" s="11">
        <f>IF(F211="","",ROUND(F211*IF(J211="",1,J211),2))</f>
        <v/>
      </c>
      <c r="L211" s="11">
        <f>IF(F211="","",ROUND(H211*IF(J211="",1,J211),2))</f>
        <v/>
      </c>
      <c r="M211" s="12">
        <f>IF(A211="","",ROUNDUP(MONTH(A211)/3,0))</f>
        <v/>
      </c>
      <c r="N211" s="12">
        <f>IF(A211="","",MONTH(A211))</f>
        <v/>
      </c>
    </row>
    <row r="212">
      <c r="A212" s="9" t="n"/>
      <c r="B212" s="5" t="n"/>
      <c r="C212" s="5" t="n"/>
      <c r="D212" s="5" t="n"/>
      <c r="E212" s="5" t="n"/>
      <c r="F212" s="10" t="n"/>
      <c r="G212" s="6" t="n"/>
      <c r="H212" s="11">
        <f>IF(F212="","",ROUND(F212*N(G212),2))</f>
        <v/>
      </c>
      <c r="I212" s="11">
        <f>IF(F212="","",F212+H212)</f>
        <v/>
      </c>
      <c r="J212" s="6" t="n"/>
      <c r="K212" s="11">
        <f>IF(F212="","",ROUND(F212*IF(J212="",1,J212),2))</f>
        <v/>
      </c>
      <c r="L212" s="11">
        <f>IF(F212="","",ROUND(H212*IF(J212="",1,J212),2))</f>
        <v/>
      </c>
      <c r="M212" s="12">
        <f>IF(A212="","",ROUNDUP(MONTH(A212)/3,0))</f>
        <v/>
      </c>
      <c r="N212" s="12">
        <f>IF(A212="","",MONTH(A212))</f>
        <v/>
      </c>
    </row>
    <row r="213">
      <c r="A213" s="9" t="n"/>
      <c r="B213" s="5" t="n"/>
      <c r="C213" s="5" t="n"/>
      <c r="D213" s="5" t="n"/>
      <c r="E213" s="5" t="n"/>
      <c r="F213" s="10" t="n"/>
      <c r="G213" s="6" t="n"/>
      <c r="H213" s="11">
        <f>IF(F213="","",ROUND(F213*N(G213),2))</f>
        <v/>
      </c>
      <c r="I213" s="11">
        <f>IF(F213="","",F213+H213)</f>
        <v/>
      </c>
      <c r="J213" s="6" t="n"/>
      <c r="K213" s="11">
        <f>IF(F213="","",ROUND(F213*IF(J213="",1,J213),2))</f>
        <v/>
      </c>
      <c r="L213" s="11">
        <f>IF(F213="","",ROUND(H213*IF(J213="",1,J213),2))</f>
        <v/>
      </c>
      <c r="M213" s="12">
        <f>IF(A213="","",ROUNDUP(MONTH(A213)/3,0))</f>
        <v/>
      </c>
      <c r="N213" s="12">
        <f>IF(A213="","",MONTH(A213))</f>
        <v/>
      </c>
    </row>
    <row r="214">
      <c r="A214" s="9" t="n"/>
      <c r="B214" s="5" t="n"/>
      <c r="C214" s="5" t="n"/>
      <c r="D214" s="5" t="n"/>
      <c r="E214" s="5" t="n"/>
      <c r="F214" s="10" t="n"/>
      <c r="G214" s="6" t="n"/>
      <c r="H214" s="11">
        <f>IF(F214="","",ROUND(F214*N(G214),2))</f>
        <v/>
      </c>
      <c r="I214" s="11">
        <f>IF(F214="","",F214+H214)</f>
        <v/>
      </c>
      <c r="J214" s="6" t="n"/>
      <c r="K214" s="11">
        <f>IF(F214="","",ROUND(F214*IF(J214="",1,J214),2))</f>
        <v/>
      </c>
      <c r="L214" s="11">
        <f>IF(F214="","",ROUND(H214*IF(J214="",1,J214),2))</f>
        <v/>
      </c>
      <c r="M214" s="12">
        <f>IF(A214="","",ROUNDUP(MONTH(A214)/3,0))</f>
        <v/>
      </c>
      <c r="N214" s="12">
        <f>IF(A214="","",MONTH(A214))</f>
        <v/>
      </c>
    </row>
    <row r="215">
      <c r="A215" s="9" t="n"/>
      <c r="B215" s="5" t="n"/>
      <c r="C215" s="5" t="n"/>
      <c r="D215" s="5" t="n"/>
      <c r="E215" s="5" t="n"/>
      <c r="F215" s="10" t="n"/>
      <c r="G215" s="6" t="n"/>
      <c r="H215" s="11">
        <f>IF(F215="","",ROUND(F215*N(G215),2))</f>
        <v/>
      </c>
      <c r="I215" s="11">
        <f>IF(F215="","",F215+H215)</f>
        <v/>
      </c>
      <c r="J215" s="6" t="n"/>
      <c r="K215" s="11">
        <f>IF(F215="","",ROUND(F215*IF(J215="",1,J215),2))</f>
        <v/>
      </c>
      <c r="L215" s="11">
        <f>IF(F215="","",ROUND(H215*IF(J215="",1,J215),2))</f>
        <v/>
      </c>
      <c r="M215" s="12">
        <f>IF(A215="","",ROUNDUP(MONTH(A215)/3,0))</f>
        <v/>
      </c>
      <c r="N215" s="12">
        <f>IF(A215="","",MONTH(A215))</f>
        <v/>
      </c>
    </row>
    <row r="216">
      <c r="A216" s="9" t="n"/>
      <c r="B216" s="5" t="n"/>
      <c r="C216" s="5" t="n"/>
      <c r="D216" s="5" t="n"/>
      <c r="E216" s="5" t="n"/>
      <c r="F216" s="10" t="n"/>
      <c r="G216" s="6" t="n"/>
      <c r="H216" s="11">
        <f>IF(F216="","",ROUND(F216*N(G216),2))</f>
        <v/>
      </c>
      <c r="I216" s="11">
        <f>IF(F216="","",F216+H216)</f>
        <v/>
      </c>
      <c r="J216" s="6" t="n"/>
      <c r="K216" s="11">
        <f>IF(F216="","",ROUND(F216*IF(J216="",1,J216),2))</f>
        <v/>
      </c>
      <c r="L216" s="11">
        <f>IF(F216="","",ROUND(H216*IF(J216="",1,J216),2))</f>
        <v/>
      </c>
      <c r="M216" s="12">
        <f>IF(A216="","",ROUNDUP(MONTH(A216)/3,0))</f>
        <v/>
      </c>
      <c r="N216" s="12">
        <f>IF(A216="","",MONTH(A216))</f>
        <v/>
      </c>
    </row>
    <row r="217">
      <c r="A217" s="9" t="n"/>
      <c r="B217" s="5" t="n"/>
      <c r="C217" s="5" t="n"/>
      <c r="D217" s="5" t="n"/>
      <c r="E217" s="5" t="n"/>
      <c r="F217" s="10" t="n"/>
      <c r="G217" s="6" t="n"/>
      <c r="H217" s="11">
        <f>IF(F217="","",ROUND(F217*N(G217),2))</f>
        <v/>
      </c>
      <c r="I217" s="11">
        <f>IF(F217="","",F217+H217)</f>
        <v/>
      </c>
      <c r="J217" s="6" t="n"/>
      <c r="K217" s="11">
        <f>IF(F217="","",ROUND(F217*IF(J217="",1,J217),2))</f>
        <v/>
      </c>
      <c r="L217" s="11">
        <f>IF(F217="","",ROUND(H217*IF(J217="",1,J217),2))</f>
        <v/>
      </c>
      <c r="M217" s="12">
        <f>IF(A217="","",ROUNDUP(MONTH(A217)/3,0))</f>
        <v/>
      </c>
      <c r="N217" s="12">
        <f>IF(A217="","",MONTH(A217))</f>
        <v/>
      </c>
    </row>
    <row r="218">
      <c r="A218" s="9" t="n"/>
      <c r="B218" s="5" t="n"/>
      <c r="C218" s="5" t="n"/>
      <c r="D218" s="5" t="n"/>
      <c r="E218" s="5" t="n"/>
      <c r="F218" s="10" t="n"/>
      <c r="G218" s="6" t="n"/>
      <c r="H218" s="11">
        <f>IF(F218="","",ROUND(F218*N(G218),2))</f>
        <v/>
      </c>
      <c r="I218" s="11">
        <f>IF(F218="","",F218+H218)</f>
        <v/>
      </c>
      <c r="J218" s="6" t="n"/>
      <c r="K218" s="11">
        <f>IF(F218="","",ROUND(F218*IF(J218="",1,J218),2))</f>
        <v/>
      </c>
      <c r="L218" s="11">
        <f>IF(F218="","",ROUND(H218*IF(J218="",1,J218),2))</f>
        <v/>
      </c>
      <c r="M218" s="12">
        <f>IF(A218="","",ROUNDUP(MONTH(A218)/3,0))</f>
        <v/>
      </c>
      <c r="N218" s="12">
        <f>IF(A218="","",MONTH(A218))</f>
        <v/>
      </c>
    </row>
    <row r="219">
      <c r="A219" s="9" t="n"/>
      <c r="B219" s="5" t="n"/>
      <c r="C219" s="5" t="n"/>
      <c r="D219" s="5" t="n"/>
      <c r="E219" s="5" t="n"/>
      <c r="F219" s="10" t="n"/>
      <c r="G219" s="6" t="n"/>
      <c r="H219" s="11">
        <f>IF(F219="","",ROUND(F219*N(G219),2))</f>
        <v/>
      </c>
      <c r="I219" s="11">
        <f>IF(F219="","",F219+H219)</f>
        <v/>
      </c>
      <c r="J219" s="6" t="n"/>
      <c r="K219" s="11">
        <f>IF(F219="","",ROUND(F219*IF(J219="",1,J219),2))</f>
        <v/>
      </c>
      <c r="L219" s="11">
        <f>IF(F219="","",ROUND(H219*IF(J219="",1,J219),2))</f>
        <v/>
      </c>
      <c r="M219" s="12">
        <f>IF(A219="","",ROUNDUP(MONTH(A219)/3,0))</f>
        <v/>
      </c>
      <c r="N219" s="12">
        <f>IF(A219="","",MONTH(A219))</f>
        <v/>
      </c>
    </row>
    <row r="220">
      <c r="A220" s="9" t="n"/>
      <c r="B220" s="5" t="n"/>
      <c r="C220" s="5" t="n"/>
      <c r="D220" s="5" t="n"/>
      <c r="E220" s="5" t="n"/>
      <c r="F220" s="10" t="n"/>
      <c r="G220" s="6" t="n"/>
      <c r="H220" s="11">
        <f>IF(F220="","",ROUND(F220*N(G220),2))</f>
        <v/>
      </c>
      <c r="I220" s="11">
        <f>IF(F220="","",F220+H220)</f>
        <v/>
      </c>
      <c r="J220" s="6" t="n"/>
      <c r="K220" s="11">
        <f>IF(F220="","",ROUND(F220*IF(J220="",1,J220),2))</f>
        <v/>
      </c>
      <c r="L220" s="11">
        <f>IF(F220="","",ROUND(H220*IF(J220="",1,J220),2))</f>
        <v/>
      </c>
      <c r="M220" s="12">
        <f>IF(A220="","",ROUNDUP(MONTH(A220)/3,0))</f>
        <v/>
      </c>
      <c r="N220" s="12">
        <f>IF(A220="","",MONTH(A220))</f>
        <v/>
      </c>
    </row>
    <row r="221">
      <c r="A221" s="9" t="n"/>
      <c r="B221" s="5" t="n"/>
      <c r="C221" s="5" t="n"/>
      <c r="D221" s="5" t="n"/>
      <c r="E221" s="5" t="n"/>
      <c r="F221" s="10" t="n"/>
      <c r="G221" s="6" t="n"/>
      <c r="H221" s="11">
        <f>IF(F221="","",ROUND(F221*N(G221),2))</f>
        <v/>
      </c>
      <c r="I221" s="11">
        <f>IF(F221="","",F221+H221)</f>
        <v/>
      </c>
      <c r="J221" s="6" t="n"/>
      <c r="K221" s="11">
        <f>IF(F221="","",ROUND(F221*IF(J221="",1,J221),2))</f>
        <v/>
      </c>
      <c r="L221" s="11">
        <f>IF(F221="","",ROUND(H221*IF(J221="",1,J221),2))</f>
        <v/>
      </c>
      <c r="M221" s="12">
        <f>IF(A221="","",ROUNDUP(MONTH(A221)/3,0))</f>
        <v/>
      </c>
      <c r="N221" s="12">
        <f>IF(A221="","",MONTH(A221))</f>
        <v/>
      </c>
    </row>
    <row r="222">
      <c r="A222" s="9" t="n"/>
      <c r="B222" s="5" t="n"/>
      <c r="C222" s="5" t="n"/>
      <c r="D222" s="5" t="n"/>
      <c r="E222" s="5" t="n"/>
      <c r="F222" s="10" t="n"/>
      <c r="G222" s="6" t="n"/>
      <c r="H222" s="11">
        <f>IF(F222="","",ROUND(F222*N(G222),2))</f>
        <v/>
      </c>
      <c r="I222" s="11">
        <f>IF(F222="","",F222+H222)</f>
        <v/>
      </c>
      <c r="J222" s="6" t="n"/>
      <c r="K222" s="11">
        <f>IF(F222="","",ROUND(F222*IF(J222="",1,J222),2))</f>
        <v/>
      </c>
      <c r="L222" s="11">
        <f>IF(F222="","",ROUND(H222*IF(J222="",1,J222),2))</f>
        <v/>
      </c>
      <c r="M222" s="12">
        <f>IF(A222="","",ROUNDUP(MONTH(A222)/3,0))</f>
        <v/>
      </c>
      <c r="N222" s="12">
        <f>IF(A222="","",MONTH(A222))</f>
        <v/>
      </c>
    </row>
    <row r="223">
      <c r="A223" s="9" t="n"/>
      <c r="B223" s="5" t="n"/>
      <c r="C223" s="5" t="n"/>
      <c r="D223" s="5" t="n"/>
      <c r="E223" s="5" t="n"/>
      <c r="F223" s="10" t="n"/>
      <c r="G223" s="6" t="n"/>
      <c r="H223" s="11">
        <f>IF(F223="","",ROUND(F223*N(G223),2))</f>
        <v/>
      </c>
      <c r="I223" s="11">
        <f>IF(F223="","",F223+H223)</f>
        <v/>
      </c>
      <c r="J223" s="6" t="n"/>
      <c r="K223" s="11">
        <f>IF(F223="","",ROUND(F223*IF(J223="",1,J223),2))</f>
        <v/>
      </c>
      <c r="L223" s="11">
        <f>IF(F223="","",ROUND(H223*IF(J223="",1,J223),2))</f>
        <v/>
      </c>
      <c r="M223" s="12">
        <f>IF(A223="","",ROUNDUP(MONTH(A223)/3,0))</f>
        <v/>
      </c>
      <c r="N223" s="12">
        <f>IF(A223="","",MONTH(A223))</f>
        <v/>
      </c>
    </row>
    <row r="224">
      <c r="A224" s="9" t="n"/>
      <c r="B224" s="5" t="n"/>
      <c r="C224" s="5" t="n"/>
      <c r="D224" s="5" t="n"/>
      <c r="E224" s="5" t="n"/>
      <c r="F224" s="10" t="n"/>
      <c r="G224" s="6" t="n"/>
      <c r="H224" s="11">
        <f>IF(F224="","",ROUND(F224*N(G224),2))</f>
        <v/>
      </c>
      <c r="I224" s="11">
        <f>IF(F224="","",F224+H224)</f>
        <v/>
      </c>
      <c r="J224" s="6" t="n"/>
      <c r="K224" s="11">
        <f>IF(F224="","",ROUND(F224*IF(J224="",1,J224),2))</f>
        <v/>
      </c>
      <c r="L224" s="11">
        <f>IF(F224="","",ROUND(H224*IF(J224="",1,J224),2))</f>
        <v/>
      </c>
      <c r="M224" s="12">
        <f>IF(A224="","",ROUNDUP(MONTH(A224)/3,0))</f>
        <v/>
      </c>
      <c r="N224" s="12">
        <f>IF(A224="","",MONTH(A224))</f>
        <v/>
      </c>
    </row>
    <row r="225">
      <c r="A225" s="9" t="n"/>
      <c r="B225" s="5" t="n"/>
      <c r="C225" s="5" t="n"/>
      <c r="D225" s="5" t="n"/>
      <c r="E225" s="5" t="n"/>
      <c r="F225" s="10" t="n"/>
      <c r="G225" s="6" t="n"/>
      <c r="H225" s="11">
        <f>IF(F225="","",ROUND(F225*N(G225),2))</f>
        <v/>
      </c>
      <c r="I225" s="11">
        <f>IF(F225="","",F225+H225)</f>
        <v/>
      </c>
      <c r="J225" s="6" t="n"/>
      <c r="K225" s="11">
        <f>IF(F225="","",ROUND(F225*IF(J225="",1,J225),2))</f>
        <v/>
      </c>
      <c r="L225" s="11">
        <f>IF(F225="","",ROUND(H225*IF(J225="",1,J225),2))</f>
        <v/>
      </c>
      <c r="M225" s="12">
        <f>IF(A225="","",ROUNDUP(MONTH(A225)/3,0))</f>
        <v/>
      </c>
      <c r="N225" s="12">
        <f>IF(A225="","",MONTH(A225))</f>
        <v/>
      </c>
    </row>
    <row r="226">
      <c r="A226" s="9" t="n"/>
      <c r="B226" s="5" t="n"/>
      <c r="C226" s="5" t="n"/>
      <c r="D226" s="5" t="n"/>
      <c r="E226" s="5" t="n"/>
      <c r="F226" s="10" t="n"/>
      <c r="G226" s="6" t="n"/>
      <c r="H226" s="11">
        <f>IF(F226="","",ROUND(F226*N(G226),2))</f>
        <v/>
      </c>
      <c r="I226" s="11">
        <f>IF(F226="","",F226+H226)</f>
        <v/>
      </c>
      <c r="J226" s="6" t="n"/>
      <c r="K226" s="11">
        <f>IF(F226="","",ROUND(F226*IF(J226="",1,J226),2))</f>
        <v/>
      </c>
      <c r="L226" s="11">
        <f>IF(F226="","",ROUND(H226*IF(J226="",1,J226),2))</f>
        <v/>
      </c>
      <c r="M226" s="12">
        <f>IF(A226="","",ROUNDUP(MONTH(A226)/3,0))</f>
        <v/>
      </c>
      <c r="N226" s="12">
        <f>IF(A226="","",MONTH(A226))</f>
        <v/>
      </c>
    </row>
    <row r="227">
      <c r="A227" s="9" t="n"/>
      <c r="B227" s="5" t="n"/>
      <c r="C227" s="5" t="n"/>
      <c r="D227" s="5" t="n"/>
      <c r="E227" s="5" t="n"/>
      <c r="F227" s="10" t="n"/>
      <c r="G227" s="6" t="n"/>
      <c r="H227" s="11">
        <f>IF(F227="","",ROUND(F227*N(G227),2))</f>
        <v/>
      </c>
      <c r="I227" s="11">
        <f>IF(F227="","",F227+H227)</f>
        <v/>
      </c>
      <c r="J227" s="6" t="n"/>
      <c r="K227" s="11">
        <f>IF(F227="","",ROUND(F227*IF(J227="",1,J227),2))</f>
        <v/>
      </c>
      <c r="L227" s="11">
        <f>IF(F227="","",ROUND(H227*IF(J227="",1,J227),2))</f>
        <v/>
      </c>
      <c r="M227" s="12">
        <f>IF(A227="","",ROUNDUP(MONTH(A227)/3,0))</f>
        <v/>
      </c>
      <c r="N227" s="12">
        <f>IF(A227="","",MONTH(A227))</f>
        <v/>
      </c>
    </row>
    <row r="228">
      <c r="A228" s="9" t="n"/>
      <c r="B228" s="5" t="n"/>
      <c r="C228" s="5" t="n"/>
      <c r="D228" s="5" t="n"/>
      <c r="E228" s="5" t="n"/>
      <c r="F228" s="10" t="n"/>
      <c r="G228" s="6" t="n"/>
      <c r="H228" s="11">
        <f>IF(F228="","",ROUND(F228*N(G228),2))</f>
        <v/>
      </c>
      <c r="I228" s="11">
        <f>IF(F228="","",F228+H228)</f>
        <v/>
      </c>
      <c r="J228" s="6" t="n"/>
      <c r="K228" s="11">
        <f>IF(F228="","",ROUND(F228*IF(J228="",1,J228),2))</f>
        <v/>
      </c>
      <c r="L228" s="11">
        <f>IF(F228="","",ROUND(H228*IF(J228="",1,J228),2))</f>
        <v/>
      </c>
      <c r="M228" s="12">
        <f>IF(A228="","",ROUNDUP(MONTH(A228)/3,0))</f>
        <v/>
      </c>
      <c r="N228" s="12">
        <f>IF(A228="","",MONTH(A228))</f>
        <v/>
      </c>
    </row>
    <row r="229">
      <c r="A229" s="9" t="n"/>
      <c r="B229" s="5" t="n"/>
      <c r="C229" s="5" t="n"/>
      <c r="D229" s="5" t="n"/>
      <c r="E229" s="5" t="n"/>
      <c r="F229" s="10" t="n"/>
      <c r="G229" s="6" t="n"/>
      <c r="H229" s="11">
        <f>IF(F229="","",ROUND(F229*N(G229),2))</f>
        <v/>
      </c>
      <c r="I229" s="11">
        <f>IF(F229="","",F229+H229)</f>
        <v/>
      </c>
      <c r="J229" s="6" t="n"/>
      <c r="K229" s="11">
        <f>IF(F229="","",ROUND(F229*IF(J229="",1,J229),2))</f>
        <v/>
      </c>
      <c r="L229" s="11">
        <f>IF(F229="","",ROUND(H229*IF(J229="",1,J229),2))</f>
        <v/>
      </c>
      <c r="M229" s="12">
        <f>IF(A229="","",ROUNDUP(MONTH(A229)/3,0))</f>
        <v/>
      </c>
      <c r="N229" s="12">
        <f>IF(A229="","",MONTH(A229))</f>
        <v/>
      </c>
    </row>
    <row r="230">
      <c r="A230" s="9" t="n"/>
      <c r="B230" s="5" t="n"/>
      <c r="C230" s="5" t="n"/>
      <c r="D230" s="5" t="n"/>
      <c r="E230" s="5" t="n"/>
      <c r="F230" s="10" t="n"/>
      <c r="G230" s="6" t="n"/>
      <c r="H230" s="11">
        <f>IF(F230="","",ROUND(F230*N(G230),2))</f>
        <v/>
      </c>
      <c r="I230" s="11">
        <f>IF(F230="","",F230+H230)</f>
        <v/>
      </c>
      <c r="J230" s="6" t="n"/>
      <c r="K230" s="11">
        <f>IF(F230="","",ROUND(F230*IF(J230="",1,J230),2))</f>
        <v/>
      </c>
      <c r="L230" s="11">
        <f>IF(F230="","",ROUND(H230*IF(J230="",1,J230),2))</f>
        <v/>
      </c>
      <c r="M230" s="12">
        <f>IF(A230="","",ROUNDUP(MONTH(A230)/3,0))</f>
        <v/>
      </c>
      <c r="N230" s="12">
        <f>IF(A230="","",MONTH(A230))</f>
        <v/>
      </c>
    </row>
    <row r="231">
      <c r="A231" s="9" t="n"/>
      <c r="B231" s="5" t="n"/>
      <c r="C231" s="5" t="n"/>
      <c r="D231" s="5" t="n"/>
      <c r="E231" s="5" t="n"/>
      <c r="F231" s="10" t="n"/>
      <c r="G231" s="6" t="n"/>
      <c r="H231" s="11">
        <f>IF(F231="","",ROUND(F231*N(G231),2))</f>
        <v/>
      </c>
      <c r="I231" s="11">
        <f>IF(F231="","",F231+H231)</f>
        <v/>
      </c>
      <c r="J231" s="6" t="n"/>
      <c r="K231" s="11">
        <f>IF(F231="","",ROUND(F231*IF(J231="",1,J231),2))</f>
        <v/>
      </c>
      <c r="L231" s="11">
        <f>IF(F231="","",ROUND(H231*IF(J231="",1,J231),2))</f>
        <v/>
      </c>
      <c r="M231" s="12">
        <f>IF(A231="","",ROUNDUP(MONTH(A231)/3,0))</f>
        <v/>
      </c>
      <c r="N231" s="12">
        <f>IF(A231="","",MONTH(A231))</f>
        <v/>
      </c>
    </row>
    <row r="232">
      <c r="A232" s="9" t="n"/>
      <c r="B232" s="5" t="n"/>
      <c r="C232" s="5" t="n"/>
      <c r="D232" s="5" t="n"/>
      <c r="E232" s="5" t="n"/>
      <c r="F232" s="10" t="n"/>
      <c r="G232" s="6" t="n"/>
      <c r="H232" s="11">
        <f>IF(F232="","",ROUND(F232*N(G232),2))</f>
        <v/>
      </c>
      <c r="I232" s="11">
        <f>IF(F232="","",F232+H232)</f>
        <v/>
      </c>
      <c r="J232" s="6" t="n"/>
      <c r="K232" s="11">
        <f>IF(F232="","",ROUND(F232*IF(J232="",1,J232),2))</f>
        <v/>
      </c>
      <c r="L232" s="11">
        <f>IF(F232="","",ROUND(H232*IF(J232="",1,J232),2))</f>
        <v/>
      </c>
      <c r="M232" s="12">
        <f>IF(A232="","",ROUNDUP(MONTH(A232)/3,0))</f>
        <v/>
      </c>
      <c r="N232" s="12">
        <f>IF(A232="","",MONTH(A232))</f>
        <v/>
      </c>
    </row>
    <row r="233">
      <c r="A233" s="9" t="n"/>
      <c r="B233" s="5" t="n"/>
      <c r="C233" s="5" t="n"/>
      <c r="D233" s="5" t="n"/>
      <c r="E233" s="5" t="n"/>
      <c r="F233" s="10" t="n"/>
      <c r="G233" s="6" t="n"/>
      <c r="H233" s="11">
        <f>IF(F233="","",ROUND(F233*N(G233),2))</f>
        <v/>
      </c>
      <c r="I233" s="11">
        <f>IF(F233="","",F233+H233)</f>
        <v/>
      </c>
      <c r="J233" s="6" t="n"/>
      <c r="K233" s="11">
        <f>IF(F233="","",ROUND(F233*IF(J233="",1,J233),2))</f>
        <v/>
      </c>
      <c r="L233" s="11">
        <f>IF(F233="","",ROUND(H233*IF(J233="",1,J233),2))</f>
        <v/>
      </c>
      <c r="M233" s="12">
        <f>IF(A233="","",ROUNDUP(MONTH(A233)/3,0))</f>
        <v/>
      </c>
      <c r="N233" s="12">
        <f>IF(A233="","",MONTH(A233))</f>
        <v/>
      </c>
    </row>
    <row r="234">
      <c r="A234" s="9" t="n"/>
      <c r="B234" s="5" t="n"/>
      <c r="C234" s="5" t="n"/>
      <c r="D234" s="5" t="n"/>
      <c r="E234" s="5" t="n"/>
      <c r="F234" s="10" t="n"/>
      <c r="G234" s="6" t="n"/>
      <c r="H234" s="11">
        <f>IF(F234="","",ROUND(F234*N(G234),2))</f>
        <v/>
      </c>
      <c r="I234" s="11">
        <f>IF(F234="","",F234+H234)</f>
        <v/>
      </c>
      <c r="J234" s="6" t="n"/>
      <c r="K234" s="11">
        <f>IF(F234="","",ROUND(F234*IF(J234="",1,J234),2))</f>
        <v/>
      </c>
      <c r="L234" s="11">
        <f>IF(F234="","",ROUND(H234*IF(J234="",1,J234),2))</f>
        <v/>
      </c>
      <c r="M234" s="12">
        <f>IF(A234="","",ROUNDUP(MONTH(A234)/3,0))</f>
        <v/>
      </c>
      <c r="N234" s="12">
        <f>IF(A234="","",MONTH(A234))</f>
        <v/>
      </c>
    </row>
    <row r="235">
      <c r="A235" s="9" t="n"/>
      <c r="B235" s="5" t="n"/>
      <c r="C235" s="5" t="n"/>
      <c r="D235" s="5" t="n"/>
      <c r="E235" s="5" t="n"/>
      <c r="F235" s="10" t="n"/>
      <c r="G235" s="6" t="n"/>
      <c r="H235" s="11">
        <f>IF(F235="","",ROUND(F235*N(G235),2))</f>
        <v/>
      </c>
      <c r="I235" s="11">
        <f>IF(F235="","",F235+H235)</f>
        <v/>
      </c>
      <c r="J235" s="6" t="n"/>
      <c r="K235" s="11">
        <f>IF(F235="","",ROUND(F235*IF(J235="",1,J235),2))</f>
        <v/>
      </c>
      <c r="L235" s="11">
        <f>IF(F235="","",ROUND(H235*IF(J235="",1,J235),2))</f>
        <v/>
      </c>
      <c r="M235" s="12">
        <f>IF(A235="","",ROUNDUP(MONTH(A235)/3,0))</f>
        <v/>
      </c>
      <c r="N235" s="12">
        <f>IF(A235="","",MONTH(A235))</f>
        <v/>
      </c>
    </row>
    <row r="236">
      <c r="A236" s="9" t="n"/>
      <c r="B236" s="5" t="n"/>
      <c r="C236" s="5" t="n"/>
      <c r="D236" s="5" t="n"/>
      <c r="E236" s="5" t="n"/>
      <c r="F236" s="10" t="n"/>
      <c r="G236" s="6" t="n"/>
      <c r="H236" s="11">
        <f>IF(F236="","",ROUND(F236*N(G236),2))</f>
        <v/>
      </c>
      <c r="I236" s="11">
        <f>IF(F236="","",F236+H236)</f>
        <v/>
      </c>
      <c r="J236" s="6" t="n"/>
      <c r="K236" s="11">
        <f>IF(F236="","",ROUND(F236*IF(J236="",1,J236),2))</f>
        <v/>
      </c>
      <c r="L236" s="11">
        <f>IF(F236="","",ROUND(H236*IF(J236="",1,J236),2))</f>
        <v/>
      </c>
      <c r="M236" s="12">
        <f>IF(A236="","",ROUNDUP(MONTH(A236)/3,0))</f>
        <v/>
      </c>
      <c r="N236" s="12">
        <f>IF(A236="","",MONTH(A236))</f>
        <v/>
      </c>
    </row>
    <row r="237">
      <c r="A237" s="9" t="n"/>
      <c r="B237" s="5" t="n"/>
      <c r="C237" s="5" t="n"/>
      <c r="D237" s="5" t="n"/>
      <c r="E237" s="5" t="n"/>
      <c r="F237" s="10" t="n"/>
      <c r="G237" s="6" t="n"/>
      <c r="H237" s="11">
        <f>IF(F237="","",ROUND(F237*N(G237),2))</f>
        <v/>
      </c>
      <c r="I237" s="11">
        <f>IF(F237="","",F237+H237)</f>
        <v/>
      </c>
      <c r="J237" s="6" t="n"/>
      <c r="K237" s="11">
        <f>IF(F237="","",ROUND(F237*IF(J237="",1,J237),2))</f>
        <v/>
      </c>
      <c r="L237" s="11">
        <f>IF(F237="","",ROUND(H237*IF(J237="",1,J237),2))</f>
        <v/>
      </c>
      <c r="M237" s="12">
        <f>IF(A237="","",ROUNDUP(MONTH(A237)/3,0))</f>
        <v/>
      </c>
      <c r="N237" s="12">
        <f>IF(A237="","",MONTH(A237))</f>
        <v/>
      </c>
    </row>
    <row r="238">
      <c r="A238" s="9" t="n"/>
      <c r="B238" s="5" t="n"/>
      <c r="C238" s="5" t="n"/>
      <c r="D238" s="5" t="n"/>
      <c r="E238" s="5" t="n"/>
      <c r="F238" s="10" t="n"/>
      <c r="G238" s="6" t="n"/>
      <c r="H238" s="11">
        <f>IF(F238="","",ROUND(F238*N(G238),2))</f>
        <v/>
      </c>
      <c r="I238" s="11">
        <f>IF(F238="","",F238+H238)</f>
        <v/>
      </c>
      <c r="J238" s="6" t="n"/>
      <c r="K238" s="11">
        <f>IF(F238="","",ROUND(F238*IF(J238="",1,J238),2))</f>
        <v/>
      </c>
      <c r="L238" s="11">
        <f>IF(F238="","",ROUND(H238*IF(J238="",1,J238),2))</f>
        <v/>
      </c>
      <c r="M238" s="12">
        <f>IF(A238="","",ROUNDUP(MONTH(A238)/3,0))</f>
        <v/>
      </c>
      <c r="N238" s="12">
        <f>IF(A238="","",MONTH(A238))</f>
        <v/>
      </c>
    </row>
    <row r="239">
      <c r="A239" s="9" t="n"/>
      <c r="B239" s="5" t="n"/>
      <c r="C239" s="5" t="n"/>
      <c r="D239" s="5" t="n"/>
      <c r="E239" s="5" t="n"/>
      <c r="F239" s="10" t="n"/>
      <c r="G239" s="6" t="n"/>
      <c r="H239" s="11">
        <f>IF(F239="","",ROUND(F239*N(G239),2))</f>
        <v/>
      </c>
      <c r="I239" s="11">
        <f>IF(F239="","",F239+H239)</f>
        <v/>
      </c>
      <c r="J239" s="6" t="n"/>
      <c r="K239" s="11">
        <f>IF(F239="","",ROUND(F239*IF(J239="",1,J239),2))</f>
        <v/>
      </c>
      <c r="L239" s="11">
        <f>IF(F239="","",ROUND(H239*IF(J239="",1,J239),2))</f>
        <v/>
      </c>
      <c r="M239" s="12">
        <f>IF(A239="","",ROUNDUP(MONTH(A239)/3,0))</f>
        <v/>
      </c>
      <c r="N239" s="12">
        <f>IF(A239="","",MONTH(A239))</f>
        <v/>
      </c>
    </row>
    <row r="240">
      <c r="A240" s="9" t="n"/>
      <c r="B240" s="5" t="n"/>
      <c r="C240" s="5" t="n"/>
      <c r="D240" s="5" t="n"/>
      <c r="E240" s="5" t="n"/>
      <c r="F240" s="10" t="n"/>
      <c r="G240" s="6" t="n"/>
      <c r="H240" s="11">
        <f>IF(F240="","",ROUND(F240*N(G240),2))</f>
        <v/>
      </c>
      <c r="I240" s="11">
        <f>IF(F240="","",F240+H240)</f>
        <v/>
      </c>
      <c r="J240" s="6" t="n"/>
      <c r="K240" s="11">
        <f>IF(F240="","",ROUND(F240*IF(J240="",1,J240),2))</f>
        <v/>
      </c>
      <c r="L240" s="11">
        <f>IF(F240="","",ROUND(H240*IF(J240="",1,J240),2))</f>
        <v/>
      </c>
      <c r="M240" s="12">
        <f>IF(A240="","",ROUNDUP(MONTH(A240)/3,0))</f>
        <v/>
      </c>
      <c r="N240" s="12">
        <f>IF(A240="","",MONTH(A240))</f>
        <v/>
      </c>
    </row>
    <row r="241">
      <c r="A241" s="9" t="n"/>
      <c r="B241" s="5" t="n"/>
      <c r="C241" s="5" t="n"/>
      <c r="D241" s="5" t="n"/>
      <c r="E241" s="5" t="n"/>
      <c r="F241" s="10" t="n"/>
      <c r="G241" s="6" t="n"/>
      <c r="H241" s="11">
        <f>IF(F241="","",ROUND(F241*N(G241),2))</f>
        <v/>
      </c>
      <c r="I241" s="11">
        <f>IF(F241="","",F241+H241)</f>
        <v/>
      </c>
      <c r="J241" s="6" t="n"/>
      <c r="K241" s="11">
        <f>IF(F241="","",ROUND(F241*IF(J241="",1,J241),2))</f>
        <v/>
      </c>
      <c r="L241" s="11">
        <f>IF(F241="","",ROUND(H241*IF(J241="",1,J241),2))</f>
        <v/>
      </c>
      <c r="M241" s="12">
        <f>IF(A241="","",ROUNDUP(MONTH(A241)/3,0))</f>
        <v/>
      </c>
      <c r="N241" s="12">
        <f>IF(A241="","",MONTH(A241))</f>
        <v/>
      </c>
    </row>
    <row r="242">
      <c r="A242" s="9" t="n"/>
      <c r="B242" s="5" t="n"/>
      <c r="C242" s="5" t="n"/>
      <c r="D242" s="5" t="n"/>
      <c r="E242" s="5" t="n"/>
      <c r="F242" s="10" t="n"/>
      <c r="G242" s="6" t="n"/>
      <c r="H242" s="11">
        <f>IF(F242="","",ROUND(F242*N(G242),2))</f>
        <v/>
      </c>
      <c r="I242" s="11">
        <f>IF(F242="","",F242+H242)</f>
        <v/>
      </c>
      <c r="J242" s="6" t="n"/>
      <c r="K242" s="11">
        <f>IF(F242="","",ROUND(F242*IF(J242="",1,J242),2))</f>
        <v/>
      </c>
      <c r="L242" s="11">
        <f>IF(F242="","",ROUND(H242*IF(J242="",1,J242),2))</f>
        <v/>
      </c>
      <c r="M242" s="12">
        <f>IF(A242="","",ROUNDUP(MONTH(A242)/3,0))</f>
        <v/>
      </c>
      <c r="N242" s="12">
        <f>IF(A242="","",MONTH(A242))</f>
        <v/>
      </c>
    </row>
    <row r="243">
      <c r="A243" s="9" t="n"/>
      <c r="B243" s="5" t="n"/>
      <c r="C243" s="5" t="n"/>
      <c r="D243" s="5" t="n"/>
      <c r="E243" s="5" t="n"/>
      <c r="F243" s="10" t="n"/>
      <c r="G243" s="6" t="n"/>
      <c r="H243" s="11">
        <f>IF(F243="","",ROUND(F243*N(G243),2))</f>
        <v/>
      </c>
      <c r="I243" s="11">
        <f>IF(F243="","",F243+H243)</f>
        <v/>
      </c>
      <c r="J243" s="6" t="n"/>
      <c r="K243" s="11">
        <f>IF(F243="","",ROUND(F243*IF(J243="",1,J243),2))</f>
        <v/>
      </c>
      <c r="L243" s="11">
        <f>IF(F243="","",ROUND(H243*IF(J243="",1,J243),2))</f>
        <v/>
      </c>
      <c r="M243" s="12">
        <f>IF(A243="","",ROUNDUP(MONTH(A243)/3,0))</f>
        <v/>
      </c>
      <c r="N243" s="12">
        <f>IF(A243="","",MONTH(A243))</f>
        <v/>
      </c>
    </row>
    <row r="244">
      <c r="A244" s="9" t="n"/>
      <c r="B244" s="5" t="n"/>
      <c r="C244" s="5" t="n"/>
      <c r="D244" s="5" t="n"/>
      <c r="E244" s="5" t="n"/>
      <c r="F244" s="10" t="n"/>
      <c r="G244" s="6" t="n"/>
      <c r="H244" s="11">
        <f>IF(F244="","",ROUND(F244*N(G244),2))</f>
        <v/>
      </c>
      <c r="I244" s="11">
        <f>IF(F244="","",F244+H244)</f>
        <v/>
      </c>
      <c r="J244" s="6" t="n"/>
      <c r="K244" s="11">
        <f>IF(F244="","",ROUND(F244*IF(J244="",1,J244),2))</f>
        <v/>
      </c>
      <c r="L244" s="11">
        <f>IF(F244="","",ROUND(H244*IF(J244="",1,J244),2))</f>
        <v/>
      </c>
      <c r="M244" s="12">
        <f>IF(A244="","",ROUNDUP(MONTH(A244)/3,0))</f>
        <v/>
      </c>
      <c r="N244" s="12">
        <f>IF(A244="","",MONTH(A244))</f>
        <v/>
      </c>
    </row>
    <row r="245">
      <c r="A245" s="9" t="n"/>
      <c r="B245" s="5" t="n"/>
      <c r="C245" s="5" t="n"/>
      <c r="D245" s="5" t="n"/>
      <c r="E245" s="5" t="n"/>
      <c r="F245" s="10" t="n"/>
      <c r="G245" s="6" t="n"/>
      <c r="H245" s="11">
        <f>IF(F245="","",ROUND(F245*N(G245),2))</f>
        <v/>
      </c>
      <c r="I245" s="11">
        <f>IF(F245="","",F245+H245)</f>
        <v/>
      </c>
      <c r="J245" s="6" t="n"/>
      <c r="K245" s="11">
        <f>IF(F245="","",ROUND(F245*IF(J245="",1,J245),2))</f>
        <v/>
      </c>
      <c r="L245" s="11">
        <f>IF(F245="","",ROUND(H245*IF(J245="",1,J245),2))</f>
        <v/>
      </c>
      <c r="M245" s="12">
        <f>IF(A245="","",ROUNDUP(MONTH(A245)/3,0))</f>
        <v/>
      </c>
      <c r="N245" s="12">
        <f>IF(A245="","",MONTH(A245))</f>
        <v/>
      </c>
    </row>
    <row r="246">
      <c r="A246" s="9" t="n"/>
      <c r="B246" s="5" t="n"/>
      <c r="C246" s="5" t="n"/>
      <c r="D246" s="5" t="n"/>
      <c r="E246" s="5" t="n"/>
      <c r="F246" s="10" t="n"/>
      <c r="G246" s="6" t="n"/>
      <c r="H246" s="11">
        <f>IF(F246="","",ROUND(F246*N(G246),2))</f>
        <v/>
      </c>
      <c r="I246" s="11">
        <f>IF(F246="","",F246+H246)</f>
        <v/>
      </c>
      <c r="J246" s="6" t="n"/>
      <c r="K246" s="11">
        <f>IF(F246="","",ROUND(F246*IF(J246="",1,J246),2))</f>
        <v/>
      </c>
      <c r="L246" s="11">
        <f>IF(F246="","",ROUND(H246*IF(J246="",1,J246),2))</f>
        <v/>
      </c>
      <c r="M246" s="12">
        <f>IF(A246="","",ROUNDUP(MONTH(A246)/3,0))</f>
        <v/>
      </c>
      <c r="N246" s="12">
        <f>IF(A246="","",MONTH(A246))</f>
        <v/>
      </c>
    </row>
    <row r="247">
      <c r="A247" s="9" t="n"/>
      <c r="B247" s="5" t="n"/>
      <c r="C247" s="5" t="n"/>
      <c r="D247" s="5" t="n"/>
      <c r="E247" s="5" t="n"/>
      <c r="F247" s="10" t="n"/>
      <c r="G247" s="6" t="n"/>
      <c r="H247" s="11">
        <f>IF(F247="","",ROUND(F247*N(G247),2))</f>
        <v/>
      </c>
      <c r="I247" s="11">
        <f>IF(F247="","",F247+H247)</f>
        <v/>
      </c>
      <c r="J247" s="6" t="n"/>
      <c r="K247" s="11">
        <f>IF(F247="","",ROUND(F247*IF(J247="",1,J247),2))</f>
        <v/>
      </c>
      <c r="L247" s="11">
        <f>IF(F247="","",ROUND(H247*IF(J247="",1,J247),2))</f>
        <v/>
      </c>
      <c r="M247" s="12">
        <f>IF(A247="","",ROUNDUP(MONTH(A247)/3,0))</f>
        <v/>
      </c>
      <c r="N247" s="12">
        <f>IF(A247="","",MONTH(A247))</f>
        <v/>
      </c>
    </row>
    <row r="248">
      <c r="A248" s="9" t="n"/>
      <c r="B248" s="5" t="n"/>
      <c r="C248" s="5" t="n"/>
      <c r="D248" s="5" t="n"/>
      <c r="E248" s="5" t="n"/>
      <c r="F248" s="10" t="n"/>
      <c r="G248" s="6" t="n"/>
      <c r="H248" s="11">
        <f>IF(F248="","",ROUND(F248*N(G248),2))</f>
        <v/>
      </c>
      <c r="I248" s="11">
        <f>IF(F248="","",F248+H248)</f>
        <v/>
      </c>
      <c r="J248" s="6" t="n"/>
      <c r="K248" s="11">
        <f>IF(F248="","",ROUND(F248*IF(J248="",1,J248),2))</f>
        <v/>
      </c>
      <c r="L248" s="11">
        <f>IF(F248="","",ROUND(H248*IF(J248="",1,J248),2))</f>
        <v/>
      </c>
      <c r="M248" s="12">
        <f>IF(A248="","",ROUNDUP(MONTH(A248)/3,0))</f>
        <v/>
      </c>
      <c r="N248" s="12">
        <f>IF(A248="","",MONTH(A248))</f>
        <v/>
      </c>
    </row>
    <row r="249">
      <c r="A249" s="9" t="n"/>
      <c r="B249" s="5" t="n"/>
      <c r="C249" s="5" t="n"/>
      <c r="D249" s="5" t="n"/>
      <c r="E249" s="5" t="n"/>
      <c r="F249" s="10" t="n"/>
      <c r="G249" s="6" t="n"/>
      <c r="H249" s="11">
        <f>IF(F249="","",ROUND(F249*N(G249),2))</f>
        <v/>
      </c>
      <c r="I249" s="11">
        <f>IF(F249="","",F249+H249)</f>
        <v/>
      </c>
      <c r="J249" s="6" t="n"/>
      <c r="K249" s="11">
        <f>IF(F249="","",ROUND(F249*IF(J249="",1,J249),2))</f>
        <v/>
      </c>
      <c r="L249" s="11">
        <f>IF(F249="","",ROUND(H249*IF(J249="",1,J249),2))</f>
        <v/>
      </c>
      <c r="M249" s="12">
        <f>IF(A249="","",ROUNDUP(MONTH(A249)/3,0))</f>
        <v/>
      </c>
      <c r="N249" s="12">
        <f>IF(A249="","",MONTH(A249))</f>
        <v/>
      </c>
    </row>
    <row r="250">
      <c r="A250" s="9" t="n"/>
      <c r="B250" s="5" t="n"/>
      <c r="C250" s="5" t="n"/>
      <c r="D250" s="5" t="n"/>
      <c r="E250" s="5" t="n"/>
      <c r="F250" s="10" t="n"/>
      <c r="G250" s="6" t="n"/>
      <c r="H250" s="11">
        <f>IF(F250="","",ROUND(F250*N(G250),2))</f>
        <v/>
      </c>
      <c r="I250" s="11">
        <f>IF(F250="","",F250+H250)</f>
        <v/>
      </c>
      <c r="J250" s="6" t="n"/>
      <c r="K250" s="11">
        <f>IF(F250="","",ROUND(F250*IF(J250="",1,J250),2))</f>
        <v/>
      </c>
      <c r="L250" s="11">
        <f>IF(F250="","",ROUND(H250*IF(J250="",1,J250),2))</f>
        <v/>
      </c>
      <c r="M250" s="12">
        <f>IF(A250="","",ROUNDUP(MONTH(A250)/3,0))</f>
        <v/>
      </c>
      <c r="N250" s="12">
        <f>IF(A250="","",MONTH(A250))</f>
        <v/>
      </c>
    </row>
    <row r="251">
      <c r="A251" s="9" t="n"/>
      <c r="B251" s="5" t="n"/>
      <c r="C251" s="5" t="n"/>
      <c r="D251" s="5" t="n"/>
      <c r="E251" s="5" t="n"/>
      <c r="F251" s="10" t="n"/>
      <c r="G251" s="6" t="n"/>
      <c r="H251" s="11">
        <f>IF(F251="","",ROUND(F251*N(G251),2))</f>
        <v/>
      </c>
      <c r="I251" s="11">
        <f>IF(F251="","",F251+H251)</f>
        <v/>
      </c>
      <c r="J251" s="6" t="n"/>
      <c r="K251" s="11">
        <f>IF(F251="","",ROUND(F251*IF(J251="",1,J251),2))</f>
        <v/>
      </c>
      <c r="L251" s="11">
        <f>IF(F251="","",ROUND(H251*IF(J251="",1,J251),2))</f>
        <v/>
      </c>
      <c r="M251" s="12">
        <f>IF(A251="","",ROUNDUP(MONTH(A251)/3,0))</f>
        <v/>
      </c>
      <c r="N251" s="12">
        <f>IF(A251="","",MONTH(A251))</f>
        <v/>
      </c>
    </row>
    <row r="252">
      <c r="A252" s="9" t="n"/>
      <c r="B252" s="5" t="n"/>
      <c r="C252" s="5" t="n"/>
      <c r="D252" s="5" t="n"/>
      <c r="E252" s="5" t="n"/>
      <c r="F252" s="10" t="n"/>
      <c r="G252" s="6" t="n"/>
      <c r="H252" s="11">
        <f>IF(F252="","",ROUND(F252*N(G252),2))</f>
        <v/>
      </c>
      <c r="I252" s="11">
        <f>IF(F252="","",F252+H252)</f>
        <v/>
      </c>
      <c r="J252" s="6" t="n"/>
      <c r="K252" s="11">
        <f>IF(F252="","",ROUND(F252*IF(J252="",1,J252),2))</f>
        <v/>
      </c>
      <c r="L252" s="11">
        <f>IF(F252="","",ROUND(H252*IF(J252="",1,J252),2))</f>
        <v/>
      </c>
      <c r="M252" s="12">
        <f>IF(A252="","",ROUNDUP(MONTH(A252)/3,0))</f>
        <v/>
      </c>
      <c r="N252" s="12">
        <f>IF(A252="","",MONTH(A252))</f>
        <v/>
      </c>
    </row>
    <row r="253">
      <c r="A253" s="9" t="n"/>
      <c r="B253" s="5" t="n"/>
      <c r="C253" s="5" t="n"/>
      <c r="D253" s="5" t="n"/>
      <c r="E253" s="5" t="n"/>
      <c r="F253" s="10" t="n"/>
      <c r="G253" s="6" t="n"/>
      <c r="H253" s="11">
        <f>IF(F253="","",ROUND(F253*N(G253),2))</f>
        <v/>
      </c>
      <c r="I253" s="11">
        <f>IF(F253="","",F253+H253)</f>
        <v/>
      </c>
      <c r="J253" s="6" t="n"/>
      <c r="K253" s="11">
        <f>IF(F253="","",ROUND(F253*IF(J253="",1,J253),2))</f>
        <v/>
      </c>
      <c r="L253" s="11">
        <f>IF(F253="","",ROUND(H253*IF(J253="",1,J253),2))</f>
        <v/>
      </c>
      <c r="M253" s="12">
        <f>IF(A253="","",ROUNDUP(MONTH(A253)/3,0))</f>
        <v/>
      </c>
      <c r="N253" s="12">
        <f>IF(A253="","",MONTH(A253))</f>
        <v/>
      </c>
    </row>
    <row r="254">
      <c r="A254" s="9" t="n"/>
      <c r="B254" s="5" t="n"/>
      <c r="C254" s="5" t="n"/>
      <c r="D254" s="5" t="n"/>
      <c r="E254" s="5" t="n"/>
      <c r="F254" s="10" t="n"/>
      <c r="G254" s="6" t="n"/>
      <c r="H254" s="11">
        <f>IF(F254="","",ROUND(F254*N(G254),2))</f>
        <v/>
      </c>
      <c r="I254" s="11">
        <f>IF(F254="","",F254+H254)</f>
        <v/>
      </c>
      <c r="J254" s="6" t="n"/>
      <c r="K254" s="11">
        <f>IF(F254="","",ROUND(F254*IF(J254="",1,J254),2))</f>
        <v/>
      </c>
      <c r="L254" s="11">
        <f>IF(F254="","",ROUND(H254*IF(J254="",1,J254),2))</f>
        <v/>
      </c>
      <c r="M254" s="12">
        <f>IF(A254="","",ROUNDUP(MONTH(A254)/3,0))</f>
        <v/>
      </c>
      <c r="N254" s="12">
        <f>IF(A254="","",MONTH(A254))</f>
        <v/>
      </c>
    </row>
    <row r="255">
      <c r="A255" s="9" t="n"/>
      <c r="B255" s="5" t="n"/>
      <c r="C255" s="5" t="n"/>
      <c r="D255" s="5" t="n"/>
      <c r="E255" s="5" t="n"/>
      <c r="F255" s="10" t="n"/>
      <c r="G255" s="6" t="n"/>
      <c r="H255" s="11">
        <f>IF(F255="","",ROUND(F255*N(G255),2))</f>
        <v/>
      </c>
      <c r="I255" s="11">
        <f>IF(F255="","",F255+H255)</f>
        <v/>
      </c>
      <c r="J255" s="6" t="n"/>
      <c r="K255" s="11">
        <f>IF(F255="","",ROUND(F255*IF(J255="",1,J255),2))</f>
        <v/>
      </c>
      <c r="L255" s="11">
        <f>IF(F255="","",ROUND(H255*IF(J255="",1,J255),2))</f>
        <v/>
      </c>
      <c r="M255" s="12">
        <f>IF(A255="","",ROUNDUP(MONTH(A255)/3,0))</f>
        <v/>
      </c>
      <c r="N255" s="12">
        <f>IF(A255="","",MONTH(A255))</f>
        <v/>
      </c>
    </row>
    <row r="256">
      <c r="A256" s="9" t="n"/>
      <c r="B256" s="5" t="n"/>
      <c r="C256" s="5" t="n"/>
      <c r="D256" s="5" t="n"/>
      <c r="E256" s="5" t="n"/>
      <c r="F256" s="10" t="n"/>
      <c r="G256" s="6" t="n"/>
      <c r="H256" s="11">
        <f>IF(F256="","",ROUND(F256*N(G256),2))</f>
        <v/>
      </c>
      <c r="I256" s="11">
        <f>IF(F256="","",F256+H256)</f>
        <v/>
      </c>
      <c r="J256" s="6" t="n"/>
      <c r="K256" s="11">
        <f>IF(F256="","",ROUND(F256*IF(J256="",1,J256),2))</f>
        <v/>
      </c>
      <c r="L256" s="11">
        <f>IF(F256="","",ROUND(H256*IF(J256="",1,J256),2))</f>
        <v/>
      </c>
      <c r="M256" s="12">
        <f>IF(A256="","",ROUNDUP(MONTH(A256)/3,0))</f>
        <v/>
      </c>
      <c r="N256" s="12">
        <f>IF(A256="","",MONTH(A256))</f>
        <v/>
      </c>
    </row>
    <row r="257">
      <c r="A257" s="9" t="n"/>
      <c r="B257" s="5" t="n"/>
      <c r="C257" s="5" t="n"/>
      <c r="D257" s="5" t="n"/>
      <c r="E257" s="5" t="n"/>
      <c r="F257" s="10" t="n"/>
      <c r="G257" s="6" t="n"/>
      <c r="H257" s="11">
        <f>IF(F257="","",ROUND(F257*N(G257),2))</f>
        <v/>
      </c>
      <c r="I257" s="11">
        <f>IF(F257="","",F257+H257)</f>
        <v/>
      </c>
      <c r="J257" s="6" t="n"/>
      <c r="K257" s="11">
        <f>IF(F257="","",ROUND(F257*IF(J257="",1,J257),2))</f>
        <v/>
      </c>
      <c r="L257" s="11">
        <f>IF(F257="","",ROUND(H257*IF(J257="",1,J257),2))</f>
        <v/>
      </c>
      <c r="M257" s="12">
        <f>IF(A257="","",ROUNDUP(MONTH(A257)/3,0))</f>
        <v/>
      </c>
      <c r="N257" s="12">
        <f>IF(A257="","",MONTH(A257))</f>
        <v/>
      </c>
    </row>
    <row r="258">
      <c r="A258" s="9" t="n"/>
      <c r="B258" s="5" t="n"/>
      <c r="C258" s="5" t="n"/>
      <c r="D258" s="5" t="n"/>
      <c r="E258" s="5" t="n"/>
      <c r="F258" s="10" t="n"/>
      <c r="G258" s="6" t="n"/>
      <c r="H258" s="11">
        <f>IF(F258="","",ROUND(F258*N(G258),2))</f>
        <v/>
      </c>
      <c r="I258" s="11">
        <f>IF(F258="","",F258+H258)</f>
        <v/>
      </c>
      <c r="J258" s="6" t="n"/>
      <c r="K258" s="11">
        <f>IF(F258="","",ROUND(F258*IF(J258="",1,J258),2))</f>
        <v/>
      </c>
      <c r="L258" s="11">
        <f>IF(F258="","",ROUND(H258*IF(J258="",1,J258),2))</f>
        <v/>
      </c>
      <c r="M258" s="12">
        <f>IF(A258="","",ROUNDUP(MONTH(A258)/3,0))</f>
        <v/>
      </c>
      <c r="N258" s="12">
        <f>IF(A258="","",MONTH(A258))</f>
        <v/>
      </c>
    </row>
    <row r="259">
      <c r="A259" s="9" t="n"/>
      <c r="B259" s="5" t="n"/>
      <c r="C259" s="5" t="n"/>
      <c r="D259" s="5" t="n"/>
      <c r="E259" s="5" t="n"/>
      <c r="F259" s="10" t="n"/>
      <c r="G259" s="6" t="n"/>
      <c r="H259" s="11">
        <f>IF(F259="","",ROUND(F259*N(G259),2))</f>
        <v/>
      </c>
      <c r="I259" s="11">
        <f>IF(F259="","",F259+H259)</f>
        <v/>
      </c>
      <c r="J259" s="6" t="n"/>
      <c r="K259" s="11">
        <f>IF(F259="","",ROUND(F259*IF(J259="",1,J259),2))</f>
        <v/>
      </c>
      <c r="L259" s="11">
        <f>IF(F259="","",ROUND(H259*IF(J259="",1,J259),2))</f>
        <v/>
      </c>
      <c r="M259" s="12">
        <f>IF(A259="","",ROUNDUP(MONTH(A259)/3,0))</f>
        <v/>
      </c>
      <c r="N259" s="12">
        <f>IF(A259="","",MONTH(A259))</f>
        <v/>
      </c>
    </row>
    <row r="260">
      <c r="A260" s="9" t="n"/>
      <c r="B260" s="5" t="n"/>
      <c r="C260" s="5" t="n"/>
      <c r="D260" s="5" t="n"/>
      <c r="E260" s="5" t="n"/>
      <c r="F260" s="10" t="n"/>
      <c r="G260" s="6" t="n"/>
      <c r="H260" s="11">
        <f>IF(F260="","",ROUND(F260*N(G260),2))</f>
        <v/>
      </c>
      <c r="I260" s="11">
        <f>IF(F260="","",F260+H260)</f>
        <v/>
      </c>
      <c r="J260" s="6" t="n"/>
      <c r="K260" s="11">
        <f>IF(F260="","",ROUND(F260*IF(J260="",1,J260),2))</f>
        <v/>
      </c>
      <c r="L260" s="11">
        <f>IF(F260="","",ROUND(H260*IF(J260="",1,J260),2))</f>
        <v/>
      </c>
      <c r="M260" s="12">
        <f>IF(A260="","",ROUNDUP(MONTH(A260)/3,0))</f>
        <v/>
      </c>
      <c r="N260" s="12">
        <f>IF(A260="","",MONTH(A260))</f>
        <v/>
      </c>
    </row>
    <row r="261">
      <c r="A261" s="9" t="n"/>
      <c r="B261" s="5" t="n"/>
      <c r="C261" s="5" t="n"/>
      <c r="D261" s="5" t="n"/>
      <c r="E261" s="5" t="n"/>
      <c r="F261" s="10" t="n"/>
      <c r="G261" s="6" t="n"/>
      <c r="H261" s="11">
        <f>IF(F261="","",ROUND(F261*N(G261),2))</f>
        <v/>
      </c>
      <c r="I261" s="11">
        <f>IF(F261="","",F261+H261)</f>
        <v/>
      </c>
      <c r="J261" s="6" t="n"/>
      <c r="K261" s="11">
        <f>IF(F261="","",ROUND(F261*IF(J261="",1,J261),2))</f>
        <v/>
      </c>
      <c r="L261" s="11">
        <f>IF(F261="","",ROUND(H261*IF(J261="",1,J261),2))</f>
        <v/>
      </c>
      <c r="M261" s="12">
        <f>IF(A261="","",ROUNDUP(MONTH(A261)/3,0))</f>
        <v/>
      </c>
      <c r="N261" s="12">
        <f>IF(A261="","",MONTH(A261))</f>
        <v/>
      </c>
    </row>
    <row r="262">
      <c r="A262" s="9" t="n"/>
      <c r="B262" s="5" t="n"/>
      <c r="C262" s="5" t="n"/>
      <c r="D262" s="5" t="n"/>
      <c r="E262" s="5" t="n"/>
      <c r="F262" s="10" t="n"/>
      <c r="G262" s="6" t="n"/>
      <c r="H262" s="11">
        <f>IF(F262="","",ROUND(F262*N(G262),2))</f>
        <v/>
      </c>
      <c r="I262" s="11">
        <f>IF(F262="","",F262+H262)</f>
        <v/>
      </c>
      <c r="J262" s="6" t="n"/>
      <c r="K262" s="11">
        <f>IF(F262="","",ROUND(F262*IF(J262="",1,J262),2))</f>
        <v/>
      </c>
      <c r="L262" s="11">
        <f>IF(F262="","",ROUND(H262*IF(J262="",1,J262),2))</f>
        <v/>
      </c>
      <c r="M262" s="12">
        <f>IF(A262="","",ROUNDUP(MONTH(A262)/3,0))</f>
        <v/>
      </c>
      <c r="N262" s="12">
        <f>IF(A262="","",MONTH(A262))</f>
        <v/>
      </c>
    </row>
    <row r="263">
      <c r="A263" s="9" t="n"/>
      <c r="B263" s="5" t="n"/>
      <c r="C263" s="5" t="n"/>
      <c r="D263" s="5" t="n"/>
      <c r="E263" s="5" t="n"/>
      <c r="F263" s="10" t="n"/>
      <c r="G263" s="6" t="n"/>
      <c r="H263" s="11">
        <f>IF(F263="","",ROUND(F263*N(G263),2))</f>
        <v/>
      </c>
      <c r="I263" s="11">
        <f>IF(F263="","",F263+H263)</f>
        <v/>
      </c>
      <c r="J263" s="6" t="n"/>
      <c r="K263" s="11">
        <f>IF(F263="","",ROUND(F263*IF(J263="",1,J263),2))</f>
        <v/>
      </c>
      <c r="L263" s="11">
        <f>IF(F263="","",ROUND(H263*IF(J263="",1,J263),2))</f>
        <v/>
      </c>
      <c r="M263" s="12">
        <f>IF(A263="","",ROUNDUP(MONTH(A263)/3,0))</f>
        <v/>
      </c>
      <c r="N263" s="12">
        <f>IF(A263="","",MONTH(A263))</f>
        <v/>
      </c>
    </row>
    <row r="264">
      <c r="A264" s="9" t="n"/>
      <c r="B264" s="5" t="n"/>
      <c r="C264" s="5" t="n"/>
      <c r="D264" s="5" t="n"/>
      <c r="E264" s="5" t="n"/>
      <c r="F264" s="10" t="n"/>
      <c r="G264" s="6" t="n"/>
      <c r="H264" s="11">
        <f>IF(F264="","",ROUND(F264*N(G264),2))</f>
        <v/>
      </c>
      <c r="I264" s="11">
        <f>IF(F264="","",F264+H264)</f>
        <v/>
      </c>
      <c r="J264" s="6" t="n"/>
      <c r="K264" s="11">
        <f>IF(F264="","",ROUND(F264*IF(J264="",1,J264),2))</f>
        <v/>
      </c>
      <c r="L264" s="11">
        <f>IF(F264="","",ROUND(H264*IF(J264="",1,J264),2))</f>
        <v/>
      </c>
      <c r="M264" s="12">
        <f>IF(A264="","",ROUNDUP(MONTH(A264)/3,0))</f>
        <v/>
      </c>
      <c r="N264" s="12">
        <f>IF(A264="","",MONTH(A264))</f>
        <v/>
      </c>
    </row>
    <row r="265">
      <c r="A265" s="9" t="n"/>
      <c r="B265" s="5" t="n"/>
      <c r="C265" s="5" t="n"/>
      <c r="D265" s="5" t="n"/>
      <c r="E265" s="5" t="n"/>
      <c r="F265" s="10" t="n"/>
      <c r="G265" s="6" t="n"/>
      <c r="H265" s="11">
        <f>IF(F265="","",ROUND(F265*N(G265),2))</f>
        <v/>
      </c>
      <c r="I265" s="11">
        <f>IF(F265="","",F265+H265)</f>
        <v/>
      </c>
      <c r="J265" s="6" t="n"/>
      <c r="K265" s="11">
        <f>IF(F265="","",ROUND(F265*IF(J265="",1,J265),2))</f>
        <v/>
      </c>
      <c r="L265" s="11">
        <f>IF(F265="","",ROUND(H265*IF(J265="",1,J265),2))</f>
        <v/>
      </c>
      <c r="M265" s="12">
        <f>IF(A265="","",ROUNDUP(MONTH(A265)/3,0))</f>
        <v/>
      </c>
      <c r="N265" s="12">
        <f>IF(A265="","",MONTH(A265))</f>
        <v/>
      </c>
    </row>
    <row r="266">
      <c r="A266" s="9" t="n"/>
      <c r="B266" s="5" t="n"/>
      <c r="C266" s="5" t="n"/>
      <c r="D266" s="5" t="n"/>
      <c r="E266" s="5" t="n"/>
      <c r="F266" s="10" t="n"/>
      <c r="G266" s="6" t="n"/>
      <c r="H266" s="11">
        <f>IF(F266="","",ROUND(F266*N(G266),2))</f>
        <v/>
      </c>
      <c r="I266" s="11">
        <f>IF(F266="","",F266+H266)</f>
        <v/>
      </c>
      <c r="J266" s="6" t="n"/>
      <c r="K266" s="11">
        <f>IF(F266="","",ROUND(F266*IF(J266="",1,J266),2))</f>
        <v/>
      </c>
      <c r="L266" s="11">
        <f>IF(F266="","",ROUND(H266*IF(J266="",1,J266),2))</f>
        <v/>
      </c>
      <c r="M266" s="12">
        <f>IF(A266="","",ROUNDUP(MONTH(A266)/3,0))</f>
        <v/>
      </c>
      <c r="N266" s="12">
        <f>IF(A266="","",MONTH(A266))</f>
        <v/>
      </c>
    </row>
    <row r="267">
      <c r="A267" s="9" t="n"/>
      <c r="B267" s="5" t="n"/>
      <c r="C267" s="5" t="n"/>
      <c r="D267" s="5" t="n"/>
      <c r="E267" s="5" t="n"/>
      <c r="F267" s="10" t="n"/>
      <c r="G267" s="6" t="n"/>
      <c r="H267" s="11">
        <f>IF(F267="","",ROUND(F267*N(G267),2))</f>
        <v/>
      </c>
      <c r="I267" s="11">
        <f>IF(F267="","",F267+H267)</f>
        <v/>
      </c>
      <c r="J267" s="6" t="n"/>
      <c r="K267" s="11">
        <f>IF(F267="","",ROUND(F267*IF(J267="",1,J267),2))</f>
        <v/>
      </c>
      <c r="L267" s="11">
        <f>IF(F267="","",ROUND(H267*IF(J267="",1,J267),2))</f>
        <v/>
      </c>
      <c r="M267" s="12">
        <f>IF(A267="","",ROUNDUP(MONTH(A267)/3,0))</f>
        <v/>
      </c>
      <c r="N267" s="12">
        <f>IF(A267="","",MONTH(A267))</f>
        <v/>
      </c>
    </row>
    <row r="268">
      <c r="A268" s="9" t="n"/>
      <c r="B268" s="5" t="n"/>
      <c r="C268" s="5" t="n"/>
      <c r="D268" s="5" t="n"/>
      <c r="E268" s="5" t="n"/>
      <c r="F268" s="10" t="n"/>
      <c r="G268" s="6" t="n"/>
      <c r="H268" s="11">
        <f>IF(F268="","",ROUND(F268*N(G268),2))</f>
        <v/>
      </c>
      <c r="I268" s="11">
        <f>IF(F268="","",F268+H268)</f>
        <v/>
      </c>
      <c r="J268" s="6" t="n"/>
      <c r="K268" s="11">
        <f>IF(F268="","",ROUND(F268*IF(J268="",1,J268),2))</f>
        <v/>
      </c>
      <c r="L268" s="11">
        <f>IF(F268="","",ROUND(H268*IF(J268="",1,J268),2))</f>
        <v/>
      </c>
      <c r="M268" s="12">
        <f>IF(A268="","",ROUNDUP(MONTH(A268)/3,0))</f>
        <v/>
      </c>
      <c r="N268" s="12">
        <f>IF(A268="","",MONTH(A268))</f>
        <v/>
      </c>
    </row>
    <row r="269">
      <c r="A269" s="9" t="n"/>
      <c r="B269" s="5" t="n"/>
      <c r="C269" s="5" t="n"/>
      <c r="D269" s="5" t="n"/>
      <c r="E269" s="5" t="n"/>
      <c r="F269" s="10" t="n"/>
      <c r="G269" s="6" t="n"/>
      <c r="H269" s="11">
        <f>IF(F269="","",ROUND(F269*N(G269),2))</f>
        <v/>
      </c>
      <c r="I269" s="11">
        <f>IF(F269="","",F269+H269)</f>
        <v/>
      </c>
      <c r="J269" s="6" t="n"/>
      <c r="K269" s="11">
        <f>IF(F269="","",ROUND(F269*IF(J269="",1,J269),2))</f>
        <v/>
      </c>
      <c r="L269" s="11">
        <f>IF(F269="","",ROUND(H269*IF(J269="",1,J269),2))</f>
        <v/>
      </c>
      <c r="M269" s="12">
        <f>IF(A269="","",ROUNDUP(MONTH(A269)/3,0))</f>
        <v/>
      </c>
      <c r="N269" s="12">
        <f>IF(A269="","",MONTH(A269))</f>
        <v/>
      </c>
    </row>
    <row r="270">
      <c r="A270" s="9" t="n"/>
      <c r="B270" s="5" t="n"/>
      <c r="C270" s="5" t="n"/>
      <c r="D270" s="5" t="n"/>
      <c r="E270" s="5" t="n"/>
      <c r="F270" s="10" t="n"/>
      <c r="G270" s="6" t="n"/>
      <c r="H270" s="11">
        <f>IF(F270="","",ROUND(F270*N(G270),2))</f>
        <v/>
      </c>
      <c r="I270" s="11">
        <f>IF(F270="","",F270+H270)</f>
        <v/>
      </c>
      <c r="J270" s="6" t="n"/>
      <c r="K270" s="11">
        <f>IF(F270="","",ROUND(F270*IF(J270="",1,J270),2))</f>
        <v/>
      </c>
      <c r="L270" s="11">
        <f>IF(F270="","",ROUND(H270*IF(J270="",1,J270),2))</f>
        <v/>
      </c>
      <c r="M270" s="12">
        <f>IF(A270="","",ROUNDUP(MONTH(A270)/3,0))</f>
        <v/>
      </c>
      <c r="N270" s="12">
        <f>IF(A270="","",MONTH(A270))</f>
        <v/>
      </c>
    </row>
    <row r="271">
      <c r="A271" s="9" t="n"/>
      <c r="B271" s="5" t="n"/>
      <c r="C271" s="5" t="n"/>
      <c r="D271" s="5" t="n"/>
      <c r="E271" s="5" t="n"/>
      <c r="F271" s="10" t="n"/>
      <c r="G271" s="6" t="n"/>
      <c r="H271" s="11">
        <f>IF(F271="","",ROUND(F271*N(G271),2))</f>
        <v/>
      </c>
      <c r="I271" s="11">
        <f>IF(F271="","",F271+H271)</f>
        <v/>
      </c>
      <c r="J271" s="6" t="n"/>
      <c r="K271" s="11">
        <f>IF(F271="","",ROUND(F271*IF(J271="",1,J271),2))</f>
        <v/>
      </c>
      <c r="L271" s="11">
        <f>IF(F271="","",ROUND(H271*IF(J271="",1,J271),2))</f>
        <v/>
      </c>
      <c r="M271" s="12">
        <f>IF(A271="","",ROUNDUP(MONTH(A271)/3,0))</f>
        <v/>
      </c>
      <c r="N271" s="12">
        <f>IF(A271="","",MONTH(A271))</f>
        <v/>
      </c>
    </row>
    <row r="272">
      <c r="A272" s="9" t="n"/>
      <c r="B272" s="5" t="n"/>
      <c r="C272" s="5" t="n"/>
      <c r="D272" s="5" t="n"/>
      <c r="E272" s="5" t="n"/>
      <c r="F272" s="10" t="n"/>
      <c r="G272" s="6" t="n"/>
      <c r="H272" s="11">
        <f>IF(F272="","",ROUND(F272*N(G272),2))</f>
        <v/>
      </c>
      <c r="I272" s="11">
        <f>IF(F272="","",F272+H272)</f>
        <v/>
      </c>
      <c r="J272" s="6" t="n"/>
      <c r="K272" s="11">
        <f>IF(F272="","",ROUND(F272*IF(J272="",1,J272),2))</f>
        <v/>
      </c>
      <c r="L272" s="11">
        <f>IF(F272="","",ROUND(H272*IF(J272="",1,J272),2))</f>
        <v/>
      </c>
      <c r="M272" s="12">
        <f>IF(A272="","",ROUNDUP(MONTH(A272)/3,0))</f>
        <v/>
      </c>
      <c r="N272" s="12">
        <f>IF(A272="","",MONTH(A272))</f>
        <v/>
      </c>
    </row>
    <row r="273">
      <c r="A273" s="9" t="n"/>
      <c r="B273" s="5" t="n"/>
      <c r="C273" s="5" t="n"/>
      <c r="D273" s="5" t="n"/>
      <c r="E273" s="5" t="n"/>
      <c r="F273" s="10" t="n"/>
      <c r="G273" s="6" t="n"/>
      <c r="H273" s="11">
        <f>IF(F273="","",ROUND(F273*N(G273),2))</f>
        <v/>
      </c>
      <c r="I273" s="11">
        <f>IF(F273="","",F273+H273)</f>
        <v/>
      </c>
      <c r="J273" s="6" t="n"/>
      <c r="K273" s="11">
        <f>IF(F273="","",ROUND(F273*IF(J273="",1,J273),2))</f>
        <v/>
      </c>
      <c r="L273" s="11">
        <f>IF(F273="","",ROUND(H273*IF(J273="",1,J273),2))</f>
        <v/>
      </c>
      <c r="M273" s="12">
        <f>IF(A273="","",ROUNDUP(MONTH(A273)/3,0))</f>
        <v/>
      </c>
      <c r="N273" s="12">
        <f>IF(A273="","",MONTH(A273))</f>
        <v/>
      </c>
    </row>
    <row r="274">
      <c r="A274" s="9" t="n"/>
      <c r="B274" s="5" t="n"/>
      <c r="C274" s="5" t="n"/>
      <c r="D274" s="5" t="n"/>
      <c r="E274" s="5" t="n"/>
      <c r="F274" s="10" t="n"/>
      <c r="G274" s="6" t="n"/>
      <c r="H274" s="11">
        <f>IF(F274="","",ROUND(F274*N(G274),2))</f>
        <v/>
      </c>
      <c r="I274" s="11">
        <f>IF(F274="","",F274+H274)</f>
        <v/>
      </c>
      <c r="J274" s="6" t="n"/>
      <c r="K274" s="11">
        <f>IF(F274="","",ROUND(F274*IF(J274="",1,J274),2))</f>
        <v/>
      </c>
      <c r="L274" s="11">
        <f>IF(F274="","",ROUND(H274*IF(J274="",1,J274),2))</f>
        <v/>
      </c>
      <c r="M274" s="12">
        <f>IF(A274="","",ROUNDUP(MONTH(A274)/3,0))</f>
        <v/>
      </c>
      <c r="N274" s="12">
        <f>IF(A274="","",MONTH(A274))</f>
        <v/>
      </c>
    </row>
    <row r="275">
      <c r="A275" s="9" t="n"/>
      <c r="B275" s="5" t="n"/>
      <c r="C275" s="5" t="n"/>
      <c r="D275" s="5" t="n"/>
      <c r="E275" s="5" t="n"/>
      <c r="F275" s="10" t="n"/>
      <c r="G275" s="6" t="n"/>
      <c r="H275" s="11">
        <f>IF(F275="","",ROUND(F275*N(G275),2))</f>
        <v/>
      </c>
      <c r="I275" s="11">
        <f>IF(F275="","",F275+H275)</f>
        <v/>
      </c>
      <c r="J275" s="6" t="n"/>
      <c r="K275" s="11">
        <f>IF(F275="","",ROUND(F275*IF(J275="",1,J275),2))</f>
        <v/>
      </c>
      <c r="L275" s="11">
        <f>IF(F275="","",ROUND(H275*IF(J275="",1,J275),2))</f>
        <v/>
      </c>
      <c r="M275" s="12">
        <f>IF(A275="","",ROUNDUP(MONTH(A275)/3,0))</f>
        <v/>
      </c>
      <c r="N275" s="12">
        <f>IF(A275="","",MONTH(A275))</f>
        <v/>
      </c>
    </row>
    <row r="276">
      <c r="A276" s="9" t="n"/>
      <c r="B276" s="5" t="n"/>
      <c r="C276" s="5" t="n"/>
      <c r="D276" s="5" t="n"/>
      <c r="E276" s="5" t="n"/>
      <c r="F276" s="10" t="n"/>
      <c r="G276" s="6" t="n"/>
      <c r="H276" s="11">
        <f>IF(F276="","",ROUND(F276*N(G276),2))</f>
        <v/>
      </c>
      <c r="I276" s="11">
        <f>IF(F276="","",F276+H276)</f>
        <v/>
      </c>
      <c r="J276" s="6" t="n"/>
      <c r="K276" s="11">
        <f>IF(F276="","",ROUND(F276*IF(J276="",1,J276),2))</f>
        <v/>
      </c>
      <c r="L276" s="11">
        <f>IF(F276="","",ROUND(H276*IF(J276="",1,J276),2))</f>
        <v/>
      </c>
      <c r="M276" s="12">
        <f>IF(A276="","",ROUNDUP(MONTH(A276)/3,0))</f>
        <v/>
      </c>
      <c r="N276" s="12">
        <f>IF(A276="","",MONTH(A276))</f>
        <v/>
      </c>
    </row>
    <row r="277">
      <c r="A277" s="9" t="n"/>
      <c r="B277" s="5" t="n"/>
      <c r="C277" s="5" t="n"/>
      <c r="D277" s="5" t="n"/>
      <c r="E277" s="5" t="n"/>
      <c r="F277" s="10" t="n"/>
      <c r="G277" s="6" t="n"/>
      <c r="H277" s="11">
        <f>IF(F277="","",ROUND(F277*N(G277),2))</f>
        <v/>
      </c>
      <c r="I277" s="11">
        <f>IF(F277="","",F277+H277)</f>
        <v/>
      </c>
      <c r="J277" s="6" t="n"/>
      <c r="K277" s="11">
        <f>IF(F277="","",ROUND(F277*IF(J277="",1,J277),2))</f>
        <v/>
      </c>
      <c r="L277" s="11">
        <f>IF(F277="","",ROUND(H277*IF(J277="",1,J277),2))</f>
        <v/>
      </c>
      <c r="M277" s="12">
        <f>IF(A277="","",ROUNDUP(MONTH(A277)/3,0))</f>
        <v/>
      </c>
      <c r="N277" s="12">
        <f>IF(A277="","",MONTH(A277))</f>
        <v/>
      </c>
    </row>
    <row r="278">
      <c r="A278" s="9" t="n"/>
      <c r="B278" s="5" t="n"/>
      <c r="C278" s="5" t="n"/>
      <c r="D278" s="5" t="n"/>
      <c r="E278" s="5" t="n"/>
      <c r="F278" s="10" t="n"/>
      <c r="G278" s="6" t="n"/>
      <c r="H278" s="11">
        <f>IF(F278="","",ROUND(F278*N(G278),2))</f>
        <v/>
      </c>
      <c r="I278" s="11">
        <f>IF(F278="","",F278+H278)</f>
        <v/>
      </c>
      <c r="J278" s="6" t="n"/>
      <c r="K278" s="11">
        <f>IF(F278="","",ROUND(F278*IF(J278="",1,J278),2))</f>
        <v/>
      </c>
      <c r="L278" s="11">
        <f>IF(F278="","",ROUND(H278*IF(J278="",1,J278),2))</f>
        <v/>
      </c>
      <c r="M278" s="12">
        <f>IF(A278="","",ROUNDUP(MONTH(A278)/3,0))</f>
        <v/>
      </c>
      <c r="N278" s="12">
        <f>IF(A278="","",MONTH(A278))</f>
        <v/>
      </c>
    </row>
    <row r="279">
      <c r="A279" s="9" t="n"/>
      <c r="B279" s="5" t="n"/>
      <c r="C279" s="5" t="n"/>
      <c r="D279" s="5" t="n"/>
      <c r="E279" s="5" t="n"/>
      <c r="F279" s="10" t="n"/>
      <c r="G279" s="6" t="n"/>
      <c r="H279" s="11">
        <f>IF(F279="","",ROUND(F279*N(G279),2))</f>
        <v/>
      </c>
      <c r="I279" s="11">
        <f>IF(F279="","",F279+H279)</f>
        <v/>
      </c>
      <c r="J279" s="6" t="n"/>
      <c r="K279" s="11">
        <f>IF(F279="","",ROUND(F279*IF(J279="",1,J279),2))</f>
        <v/>
      </c>
      <c r="L279" s="11">
        <f>IF(F279="","",ROUND(H279*IF(J279="",1,J279),2))</f>
        <v/>
      </c>
      <c r="M279" s="12">
        <f>IF(A279="","",ROUNDUP(MONTH(A279)/3,0))</f>
        <v/>
      </c>
      <c r="N279" s="12">
        <f>IF(A279="","",MONTH(A279))</f>
        <v/>
      </c>
    </row>
    <row r="280">
      <c r="A280" s="9" t="n"/>
      <c r="B280" s="5" t="n"/>
      <c r="C280" s="5" t="n"/>
      <c r="D280" s="5" t="n"/>
      <c r="E280" s="5" t="n"/>
      <c r="F280" s="10" t="n"/>
      <c r="G280" s="6" t="n"/>
      <c r="H280" s="11">
        <f>IF(F280="","",ROUND(F280*N(G280),2))</f>
        <v/>
      </c>
      <c r="I280" s="11">
        <f>IF(F280="","",F280+H280)</f>
        <v/>
      </c>
      <c r="J280" s="6" t="n"/>
      <c r="K280" s="11">
        <f>IF(F280="","",ROUND(F280*IF(J280="",1,J280),2))</f>
        <v/>
      </c>
      <c r="L280" s="11">
        <f>IF(F280="","",ROUND(H280*IF(J280="",1,J280),2))</f>
        <v/>
      </c>
      <c r="M280" s="12">
        <f>IF(A280="","",ROUNDUP(MONTH(A280)/3,0))</f>
        <v/>
      </c>
      <c r="N280" s="12">
        <f>IF(A280="","",MONTH(A280))</f>
        <v/>
      </c>
    </row>
    <row r="281">
      <c r="A281" s="9" t="n"/>
      <c r="B281" s="5" t="n"/>
      <c r="C281" s="5" t="n"/>
      <c r="D281" s="5" t="n"/>
      <c r="E281" s="5" t="n"/>
      <c r="F281" s="10" t="n"/>
      <c r="G281" s="6" t="n"/>
      <c r="H281" s="11">
        <f>IF(F281="","",ROUND(F281*N(G281),2))</f>
        <v/>
      </c>
      <c r="I281" s="11">
        <f>IF(F281="","",F281+H281)</f>
        <v/>
      </c>
      <c r="J281" s="6" t="n"/>
      <c r="K281" s="11">
        <f>IF(F281="","",ROUND(F281*IF(J281="",1,J281),2))</f>
        <v/>
      </c>
      <c r="L281" s="11">
        <f>IF(F281="","",ROUND(H281*IF(J281="",1,J281),2))</f>
        <v/>
      </c>
      <c r="M281" s="12">
        <f>IF(A281="","",ROUNDUP(MONTH(A281)/3,0))</f>
        <v/>
      </c>
      <c r="N281" s="12">
        <f>IF(A281="","",MONTH(A281))</f>
        <v/>
      </c>
    </row>
    <row r="282">
      <c r="A282" s="9" t="n"/>
      <c r="B282" s="5" t="n"/>
      <c r="C282" s="5" t="n"/>
      <c r="D282" s="5" t="n"/>
      <c r="E282" s="5" t="n"/>
      <c r="F282" s="10" t="n"/>
      <c r="G282" s="6" t="n"/>
      <c r="H282" s="11">
        <f>IF(F282="","",ROUND(F282*N(G282),2))</f>
        <v/>
      </c>
      <c r="I282" s="11">
        <f>IF(F282="","",F282+H282)</f>
        <v/>
      </c>
      <c r="J282" s="6" t="n"/>
      <c r="K282" s="11">
        <f>IF(F282="","",ROUND(F282*IF(J282="",1,J282),2))</f>
        <v/>
      </c>
      <c r="L282" s="11">
        <f>IF(F282="","",ROUND(H282*IF(J282="",1,J282),2))</f>
        <v/>
      </c>
      <c r="M282" s="12">
        <f>IF(A282="","",ROUNDUP(MONTH(A282)/3,0))</f>
        <v/>
      </c>
      <c r="N282" s="12">
        <f>IF(A282="","",MONTH(A282))</f>
        <v/>
      </c>
    </row>
    <row r="283">
      <c r="A283" s="9" t="n"/>
      <c r="B283" s="5" t="n"/>
      <c r="C283" s="5" t="n"/>
      <c r="D283" s="5" t="n"/>
      <c r="E283" s="5" t="n"/>
      <c r="F283" s="10" t="n"/>
      <c r="G283" s="6" t="n"/>
      <c r="H283" s="11">
        <f>IF(F283="","",ROUND(F283*N(G283),2))</f>
        <v/>
      </c>
      <c r="I283" s="11">
        <f>IF(F283="","",F283+H283)</f>
        <v/>
      </c>
      <c r="J283" s="6" t="n"/>
      <c r="K283" s="11">
        <f>IF(F283="","",ROUND(F283*IF(J283="",1,J283),2))</f>
        <v/>
      </c>
      <c r="L283" s="11">
        <f>IF(F283="","",ROUND(H283*IF(J283="",1,J283),2))</f>
        <v/>
      </c>
      <c r="M283" s="12">
        <f>IF(A283="","",ROUNDUP(MONTH(A283)/3,0))</f>
        <v/>
      </c>
      <c r="N283" s="12">
        <f>IF(A283="","",MONTH(A283))</f>
        <v/>
      </c>
    </row>
    <row r="284">
      <c r="A284" s="9" t="n"/>
      <c r="B284" s="5" t="n"/>
      <c r="C284" s="5" t="n"/>
      <c r="D284" s="5" t="n"/>
      <c r="E284" s="5" t="n"/>
      <c r="F284" s="10" t="n"/>
      <c r="G284" s="6" t="n"/>
      <c r="H284" s="11">
        <f>IF(F284="","",ROUND(F284*N(G284),2))</f>
        <v/>
      </c>
      <c r="I284" s="11">
        <f>IF(F284="","",F284+H284)</f>
        <v/>
      </c>
      <c r="J284" s="6" t="n"/>
      <c r="K284" s="11">
        <f>IF(F284="","",ROUND(F284*IF(J284="",1,J284),2))</f>
        <v/>
      </c>
      <c r="L284" s="11">
        <f>IF(F284="","",ROUND(H284*IF(J284="",1,J284),2))</f>
        <v/>
      </c>
      <c r="M284" s="12">
        <f>IF(A284="","",ROUNDUP(MONTH(A284)/3,0))</f>
        <v/>
      </c>
      <c r="N284" s="12">
        <f>IF(A284="","",MONTH(A284))</f>
        <v/>
      </c>
    </row>
    <row r="285">
      <c r="A285" s="9" t="n"/>
      <c r="B285" s="5" t="n"/>
      <c r="C285" s="5" t="n"/>
      <c r="D285" s="5" t="n"/>
      <c r="E285" s="5" t="n"/>
      <c r="F285" s="10" t="n"/>
      <c r="G285" s="6" t="n"/>
      <c r="H285" s="11">
        <f>IF(F285="","",ROUND(F285*N(G285),2))</f>
        <v/>
      </c>
      <c r="I285" s="11">
        <f>IF(F285="","",F285+H285)</f>
        <v/>
      </c>
      <c r="J285" s="6" t="n"/>
      <c r="K285" s="11">
        <f>IF(F285="","",ROUND(F285*IF(J285="",1,J285),2))</f>
        <v/>
      </c>
      <c r="L285" s="11">
        <f>IF(F285="","",ROUND(H285*IF(J285="",1,J285),2))</f>
        <v/>
      </c>
      <c r="M285" s="12">
        <f>IF(A285="","",ROUNDUP(MONTH(A285)/3,0))</f>
        <v/>
      </c>
      <c r="N285" s="12">
        <f>IF(A285="","",MONTH(A285))</f>
        <v/>
      </c>
    </row>
    <row r="286">
      <c r="A286" s="9" t="n"/>
      <c r="B286" s="5" t="n"/>
      <c r="C286" s="5" t="n"/>
      <c r="D286" s="5" t="n"/>
      <c r="E286" s="5" t="n"/>
      <c r="F286" s="10" t="n"/>
      <c r="G286" s="6" t="n"/>
      <c r="H286" s="11">
        <f>IF(F286="","",ROUND(F286*N(G286),2))</f>
        <v/>
      </c>
      <c r="I286" s="11">
        <f>IF(F286="","",F286+H286)</f>
        <v/>
      </c>
      <c r="J286" s="6" t="n"/>
      <c r="K286" s="11">
        <f>IF(F286="","",ROUND(F286*IF(J286="",1,J286),2))</f>
        <v/>
      </c>
      <c r="L286" s="11">
        <f>IF(F286="","",ROUND(H286*IF(J286="",1,J286),2))</f>
        <v/>
      </c>
      <c r="M286" s="12">
        <f>IF(A286="","",ROUNDUP(MONTH(A286)/3,0))</f>
        <v/>
      </c>
      <c r="N286" s="12">
        <f>IF(A286="","",MONTH(A286))</f>
        <v/>
      </c>
    </row>
    <row r="287">
      <c r="A287" s="9" t="n"/>
      <c r="B287" s="5" t="n"/>
      <c r="C287" s="5" t="n"/>
      <c r="D287" s="5" t="n"/>
      <c r="E287" s="5" t="n"/>
      <c r="F287" s="10" t="n"/>
      <c r="G287" s="6" t="n"/>
      <c r="H287" s="11">
        <f>IF(F287="","",ROUND(F287*N(G287),2))</f>
        <v/>
      </c>
      <c r="I287" s="11">
        <f>IF(F287="","",F287+H287)</f>
        <v/>
      </c>
      <c r="J287" s="6" t="n"/>
      <c r="K287" s="11">
        <f>IF(F287="","",ROUND(F287*IF(J287="",1,J287),2))</f>
        <v/>
      </c>
      <c r="L287" s="11">
        <f>IF(F287="","",ROUND(H287*IF(J287="",1,J287),2))</f>
        <v/>
      </c>
      <c r="M287" s="12">
        <f>IF(A287="","",ROUNDUP(MONTH(A287)/3,0))</f>
        <v/>
      </c>
      <c r="N287" s="12">
        <f>IF(A287="","",MONTH(A287))</f>
        <v/>
      </c>
    </row>
    <row r="288">
      <c r="A288" s="9" t="n"/>
      <c r="B288" s="5" t="n"/>
      <c r="C288" s="5" t="n"/>
      <c r="D288" s="5" t="n"/>
      <c r="E288" s="5" t="n"/>
      <c r="F288" s="10" t="n"/>
      <c r="G288" s="6" t="n"/>
      <c r="H288" s="11">
        <f>IF(F288="","",ROUND(F288*N(G288),2))</f>
        <v/>
      </c>
      <c r="I288" s="11">
        <f>IF(F288="","",F288+H288)</f>
        <v/>
      </c>
      <c r="J288" s="6" t="n"/>
      <c r="K288" s="11">
        <f>IF(F288="","",ROUND(F288*IF(J288="",1,J288),2))</f>
        <v/>
      </c>
      <c r="L288" s="11">
        <f>IF(F288="","",ROUND(H288*IF(J288="",1,J288),2))</f>
        <v/>
      </c>
      <c r="M288" s="12">
        <f>IF(A288="","",ROUNDUP(MONTH(A288)/3,0))</f>
        <v/>
      </c>
      <c r="N288" s="12">
        <f>IF(A288="","",MONTH(A288))</f>
        <v/>
      </c>
    </row>
    <row r="289">
      <c r="A289" s="9" t="n"/>
      <c r="B289" s="5" t="n"/>
      <c r="C289" s="5" t="n"/>
      <c r="D289" s="5" t="n"/>
      <c r="E289" s="5" t="n"/>
      <c r="F289" s="10" t="n"/>
      <c r="G289" s="6" t="n"/>
      <c r="H289" s="11">
        <f>IF(F289="","",ROUND(F289*N(G289),2))</f>
        <v/>
      </c>
      <c r="I289" s="11">
        <f>IF(F289="","",F289+H289)</f>
        <v/>
      </c>
      <c r="J289" s="6" t="n"/>
      <c r="K289" s="11">
        <f>IF(F289="","",ROUND(F289*IF(J289="",1,J289),2))</f>
        <v/>
      </c>
      <c r="L289" s="11">
        <f>IF(F289="","",ROUND(H289*IF(J289="",1,J289),2))</f>
        <v/>
      </c>
      <c r="M289" s="12">
        <f>IF(A289="","",ROUNDUP(MONTH(A289)/3,0))</f>
        <v/>
      </c>
      <c r="N289" s="12">
        <f>IF(A289="","",MONTH(A289))</f>
        <v/>
      </c>
    </row>
    <row r="290">
      <c r="A290" s="9" t="n"/>
      <c r="B290" s="5" t="n"/>
      <c r="C290" s="5" t="n"/>
      <c r="D290" s="5" t="n"/>
      <c r="E290" s="5" t="n"/>
      <c r="F290" s="10" t="n"/>
      <c r="G290" s="6" t="n"/>
      <c r="H290" s="11">
        <f>IF(F290="","",ROUND(F290*N(G290),2))</f>
        <v/>
      </c>
      <c r="I290" s="11">
        <f>IF(F290="","",F290+H290)</f>
        <v/>
      </c>
      <c r="J290" s="6" t="n"/>
      <c r="K290" s="11">
        <f>IF(F290="","",ROUND(F290*IF(J290="",1,J290),2))</f>
        <v/>
      </c>
      <c r="L290" s="11">
        <f>IF(F290="","",ROUND(H290*IF(J290="",1,J290),2))</f>
        <v/>
      </c>
      <c r="M290" s="12">
        <f>IF(A290="","",ROUNDUP(MONTH(A290)/3,0))</f>
        <v/>
      </c>
      <c r="N290" s="12">
        <f>IF(A290="","",MONTH(A290))</f>
        <v/>
      </c>
    </row>
    <row r="291">
      <c r="A291" s="9" t="n"/>
      <c r="B291" s="5" t="n"/>
      <c r="C291" s="5" t="n"/>
      <c r="D291" s="5" t="n"/>
      <c r="E291" s="5" t="n"/>
      <c r="F291" s="10" t="n"/>
      <c r="G291" s="6" t="n"/>
      <c r="H291" s="11">
        <f>IF(F291="","",ROUND(F291*N(G291),2))</f>
        <v/>
      </c>
      <c r="I291" s="11">
        <f>IF(F291="","",F291+H291)</f>
        <v/>
      </c>
      <c r="J291" s="6" t="n"/>
      <c r="K291" s="11">
        <f>IF(F291="","",ROUND(F291*IF(J291="",1,J291),2))</f>
        <v/>
      </c>
      <c r="L291" s="11">
        <f>IF(F291="","",ROUND(H291*IF(J291="",1,J291),2))</f>
        <v/>
      </c>
      <c r="M291" s="12">
        <f>IF(A291="","",ROUNDUP(MONTH(A291)/3,0))</f>
        <v/>
      </c>
      <c r="N291" s="12">
        <f>IF(A291="","",MONTH(A291))</f>
        <v/>
      </c>
    </row>
    <row r="292">
      <c r="A292" s="9" t="n"/>
      <c r="B292" s="5" t="n"/>
      <c r="C292" s="5" t="n"/>
      <c r="D292" s="5" t="n"/>
      <c r="E292" s="5" t="n"/>
      <c r="F292" s="10" t="n"/>
      <c r="G292" s="6" t="n"/>
      <c r="H292" s="11">
        <f>IF(F292="","",ROUND(F292*N(G292),2))</f>
        <v/>
      </c>
      <c r="I292" s="11">
        <f>IF(F292="","",F292+H292)</f>
        <v/>
      </c>
      <c r="J292" s="6" t="n"/>
      <c r="K292" s="11">
        <f>IF(F292="","",ROUND(F292*IF(J292="",1,J292),2))</f>
        <v/>
      </c>
      <c r="L292" s="11">
        <f>IF(F292="","",ROUND(H292*IF(J292="",1,J292),2))</f>
        <v/>
      </c>
      <c r="M292" s="12">
        <f>IF(A292="","",ROUNDUP(MONTH(A292)/3,0))</f>
        <v/>
      </c>
      <c r="N292" s="12">
        <f>IF(A292="","",MONTH(A292))</f>
        <v/>
      </c>
    </row>
    <row r="293">
      <c r="A293" s="9" t="n"/>
      <c r="B293" s="5" t="n"/>
      <c r="C293" s="5" t="n"/>
      <c r="D293" s="5" t="n"/>
      <c r="E293" s="5" t="n"/>
      <c r="F293" s="10" t="n"/>
      <c r="G293" s="6" t="n"/>
      <c r="H293" s="11">
        <f>IF(F293="","",ROUND(F293*N(G293),2))</f>
        <v/>
      </c>
      <c r="I293" s="11">
        <f>IF(F293="","",F293+H293)</f>
        <v/>
      </c>
      <c r="J293" s="6" t="n"/>
      <c r="K293" s="11">
        <f>IF(F293="","",ROUND(F293*IF(J293="",1,J293),2))</f>
        <v/>
      </c>
      <c r="L293" s="11">
        <f>IF(F293="","",ROUND(H293*IF(J293="",1,J293),2))</f>
        <v/>
      </c>
      <c r="M293" s="12">
        <f>IF(A293="","",ROUNDUP(MONTH(A293)/3,0))</f>
        <v/>
      </c>
      <c r="N293" s="12">
        <f>IF(A293="","",MONTH(A293))</f>
        <v/>
      </c>
    </row>
    <row r="294">
      <c r="A294" s="9" t="n"/>
      <c r="B294" s="5" t="n"/>
      <c r="C294" s="5" t="n"/>
      <c r="D294" s="5" t="n"/>
      <c r="E294" s="5" t="n"/>
      <c r="F294" s="10" t="n"/>
      <c r="G294" s="6" t="n"/>
      <c r="H294" s="11">
        <f>IF(F294="","",ROUND(F294*N(G294),2))</f>
        <v/>
      </c>
      <c r="I294" s="11">
        <f>IF(F294="","",F294+H294)</f>
        <v/>
      </c>
      <c r="J294" s="6" t="n"/>
      <c r="K294" s="11">
        <f>IF(F294="","",ROUND(F294*IF(J294="",1,J294),2))</f>
        <v/>
      </c>
      <c r="L294" s="11">
        <f>IF(F294="","",ROUND(H294*IF(J294="",1,J294),2))</f>
        <v/>
      </c>
      <c r="M294" s="12">
        <f>IF(A294="","",ROUNDUP(MONTH(A294)/3,0))</f>
        <v/>
      </c>
      <c r="N294" s="12">
        <f>IF(A294="","",MONTH(A294))</f>
        <v/>
      </c>
    </row>
    <row r="295">
      <c r="A295" s="9" t="n"/>
      <c r="B295" s="5" t="n"/>
      <c r="C295" s="5" t="n"/>
      <c r="D295" s="5" t="n"/>
      <c r="E295" s="5" t="n"/>
      <c r="F295" s="10" t="n"/>
      <c r="G295" s="6" t="n"/>
      <c r="H295" s="11">
        <f>IF(F295="","",ROUND(F295*N(G295),2))</f>
        <v/>
      </c>
      <c r="I295" s="11">
        <f>IF(F295="","",F295+H295)</f>
        <v/>
      </c>
      <c r="J295" s="6" t="n"/>
      <c r="K295" s="11">
        <f>IF(F295="","",ROUND(F295*IF(J295="",1,J295),2))</f>
        <v/>
      </c>
      <c r="L295" s="11">
        <f>IF(F295="","",ROUND(H295*IF(J295="",1,J295),2))</f>
        <v/>
      </c>
      <c r="M295" s="12">
        <f>IF(A295="","",ROUNDUP(MONTH(A295)/3,0))</f>
        <v/>
      </c>
      <c r="N295" s="12">
        <f>IF(A295="","",MONTH(A295))</f>
        <v/>
      </c>
    </row>
    <row r="296">
      <c r="A296" s="9" t="n"/>
      <c r="B296" s="5" t="n"/>
      <c r="C296" s="5" t="n"/>
      <c r="D296" s="5" t="n"/>
      <c r="E296" s="5" t="n"/>
      <c r="F296" s="10" t="n"/>
      <c r="G296" s="6" t="n"/>
      <c r="H296" s="11">
        <f>IF(F296="","",ROUND(F296*N(G296),2))</f>
        <v/>
      </c>
      <c r="I296" s="11">
        <f>IF(F296="","",F296+H296)</f>
        <v/>
      </c>
      <c r="J296" s="6" t="n"/>
      <c r="K296" s="11">
        <f>IF(F296="","",ROUND(F296*IF(J296="",1,J296),2))</f>
        <v/>
      </c>
      <c r="L296" s="11">
        <f>IF(F296="","",ROUND(H296*IF(J296="",1,J296),2))</f>
        <v/>
      </c>
      <c r="M296" s="12">
        <f>IF(A296="","",ROUNDUP(MONTH(A296)/3,0))</f>
        <v/>
      </c>
      <c r="N296" s="12">
        <f>IF(A296="","",MONTH(A296))</f>
        <v/>
      </c>
    </row>
    <row r="297">
      <c r="A297" s="9" t="n"/>
      <c r="B297" s="5" t="n"/>
      <c r="C297" s="5" t="n"/>
      <c r="D297" s="5" t="n"/>
      <c r="E297" s="5" t="n"/>
      <c r="F297" s="10" t="n"/>
      <c r="G297" s="6" t="n"/>
      <c r="H297" s="11">
        <f>IF(F297="","",ROUND(F297*N(G297),2))</f>
        <v/>
      </c>
      <c r="I297" s="11">
        <f>IF(F297="","",F297+H297)</f>
        <v/>
      </c>
      <c r="J297" s="6" t="n"/>
      <c r="K297" s="11">
        <f>IF(F297="","",ROUND(F297*IF(J297="",1,J297),2))</f>
        <v/>
      </c>
      <c r="L297" s="11">
        <f>IF(F297="","",ROUND(H297*IF(J297="",1,J297),2))</f>
        <v/>
      </c>
      <c r="M297" s="12">
        <f>IF(A297="","",ROUNDUP(MONTH(A297)/3,0))</f>
        <v/>
      </c>
      <c r="N297" s="12">
        <f>IF(A297="","",MONTH(A297))</f>
        <v/>
      </c>
    </row>
    <row r="298">
      <c r="A298" s="9" t="n"/>
      <c r="B298" s="5" t="n"/>
      <c r="C298" s="5" t="n"/>
      <c r="D298" s="5" t="n"/>
      <c r="E298" s="5" t="n"/>
      <c r="F298" s="10" t="n"/>
      <c r="G298" s="6" t="n"/>
      <c r="H298" s="11">
        <f>IF(F298="","",ROUND(F298*N(G298),2))</f>
        <v/>
      </c>
      <c r="I298" s="11">
        <f>IF(F298="","",F298+H298)</f>
        <v/>
      </c>
      <c r="J298" s="6" t="n"/>
      <c r="K298" s="11">
        <f>IF(F298="","",ROUND(F298*IF(J298="",1,J298),2))</f>
        <v/>
      </c>
      <c r="L298" s="11">
        <f>IF(F298="","",ROUND(H298*IF(J298="",1,J298),2))</f>
        <v/>
      </c>
      <c r="M298" s="12">
        <f>IF(A298="","",ROUNDUP(MONTH(A298)/3,0))</f>
        <v/>
      </c>
      <c r="N298" s="12">
        <f>IF(A298="","",MONTH(A298))</f>
        <v/>
      </c>
    </row>
    <row r="299">
      <c r="A299" s="9" t="n"/>
      <c r="B299" s="5" t="n"/>
      <c r="C299" s="5" t="n"/>
      <c r="D299" s="5" t="n"/>
      <c r="E299" s="5" t="n"/>
      <c r="F299" s="10" t="n"/>
      <c r="G299" s="6" t="n"/>
      <c r="H299" s="11">
        <f>IF(F299="","",ROUND(F299*N(G299),2))</f>
        <v/>
      </c>
      <c r="I299" s="11">
        <f>IF(F299="","",F299+H299)</f>
        <v/>
      </c>
      <c r="J299" s="6" t="n"/>
      <c r="K299" s="11">
        <f>IF(F299="","",ROUND(F299*IF(J299="",1,J299),2))</f>
        <v/>
      </c>
      <c r="L299" s="11">
        <f>IF(F299="","",ROUND(H299*IF(J299="",1,J299),2))</f>
        <v/>
      </c>
      <c r="M299" s="12">
        <f>IF(A299="","",ROUNDUP(MONTH(A299)/3,0))</f>
        <v/>
      </c>
      <c r="N299" s="12">
        <f>IF(A299="","",MONTH(A299))</f>
        <v/>
      </c>
    </row>
    <row r="300">
      <c r="A300" s="9" t="n"/>
      <c r="B300" s="5" t="n"/>
      <c r="C300" s="5" t="n"/>
      <c r="D300" s="5" t="n"/>
      <c r="E300" s="5" t="n"/>
      <c r="F300" s="10" t="n"/>
      <c r="G300" s="6" t="n"/>
      <c r="H300" s="11">
        <f>IF(F300="","",ROUND(F300*N(G300),2))</f>
        <v/>
      </c>
      <c r="I300" s="11">
        <f>IF(F300="","",F300+H300)</f>
        <v/>
      </c>
      <c r="J300" s="6" t="n"/>
      <c r="K300" s="11">
        <f>IF(F300="","",ROUND(F300*IF(J300="",1,J300),2))</f>
        <v/>
      </c>
      <c r="L300" s="11">
        <f>IF(F300="","",ROUND(H300*IF(J300="",1,J300),2))</f>
        <v/>
      </c>
      <c r="M300" s="12">
        <f>IF(A300="","",ROUNDUP(MONTH(A300)/3,0))</f>
        <v/>
      </c>
      <c r="N300" s="12">
        <f>IF(A300="","",MONTH(A300))</f>
        <v/>
      </c>
    </row>
    <row r="301">
      <c r="A301" s="9" t="n"/>
      <c r="B301" s="5" t="n"/>
      <c r="C301" s="5" t="n"/>
      <c r="D301" s="5" t="n"/>
      <c r="E301" s="5" t="n"/>
      <c r="F301" s="10" t="n"/>
      <c r="G301" s="6" t="n"/>
      <c r="H301" s="11">
        <f>IF(F301="","",ROUND(F301*N(G301),2))</f>
        <v/>
      </c>
      <c r="I301" s="11">
        <f>IF(F301="","",F301+H301)</f>
        <v/>
      </c>
      <c r="J301" s="6" t="n"/>
      <c r="K301" s="11">
        <f>IF(F301="","",ROUND(F301*IF(J301="",1,J301),2))</f>
        <v/>
      </c>
      <c r="L301" s="11">
        <f>IF(F301="","",ROUND(H301*IF(J301="",1,J301),2))</f>
        <v/>
      </c>
      <c r="M301" s="12">
        <f>IF(A301="","",ROUNDUP(MONTH(A301)/3,0))</f>
        <v/>
      </c>
      <c r="N301" s="12">
        <f>IF(A301="","",MONTH(A301))</f>
        <v/>
      </c>
    </row>
  </sheetData>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showDropDown="0" showInputMessage="0" showErrorMessage="0" allowBlank="1" type="list">
      <formula1>Config!$A$15:$A$27</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Impuestos trimestrales (orientativo)</t>
        </is>
      </c>
    </row>
    <row r="3">
      <c r="B3" s="13" t="inlineStr">
        <is>
          <t>T1</t>
        </is>
      </c>
      <c r="C3" s="13" t="inlineStr">
        <is>
          <t>T2</t>
        </is>
      </c>
      <c r="D3" s="13" t="inlineStr">
        <is>
          <t>T3</t>
        </is>
      </c>
      <c r="E3" s="13" t="inlineStr">
        <is>
          <t>T4</t>
        </is>
      </c>
      <c r="F3" s="13" t="inlineStr">
        <is>
          <t>TOTAL AÑO</t>
        </is>
      </c>
    </row>
    <row r="4">
      <c r="A4" s="7" t="inlineStr">
        <is>
          <t>MODELO 303 — IVA</t>
        </is>
      </c>
    </row>
    <row r="5">
      <c r="A5" t="inlineStr">
        <is>
          <t>IVA repercutido (cobrado en tus facturas)</t>
        </is>
      </c>
      <c r="B5" s="14">
        <f>SUMIFS(Ingresos!$H$2:$H$301,Ingresos!$L$2:$L$301,1)</f>
        <v/>
      </c>
      <c r="C5" s="14">
        <f>SUMIFS(Ingresos!$H$2:$H$301,Ingresos!$L$2:$L$301,2)</f>
        <v/>
      </c>
      <c r="D5" s="14">
        <f>SUMIFS(Ingresos!$H$2:$H$301,Ingresos!$L$2:$L$301,3)</f>
        <v/>
      </c>
      <c r="E5" s="14">
        <f>SUMIFS(Ingresos!$H$2:$H$301,Ingresos!$L$2:$L$301,4)</f>
        <v/>
      </c>
      <c r="F5" s="15">
        <f>SUM(B5:E5)</f>
        <v/>
      </c>
    </row>
    <row r="6">
      <c r="A6" t="inlineStr">
        <is>
          <t>IVA soportado deducible (pagado en gastos)</t>
        </is>
      </c>
      <c r="B6" s="14">
        <f>SUMIFS(Gastos!$L$2:$L$301,Gastos!$M$2:$M$301,1)</f>
        <v/>
      </c>
      <c r="C6" s="14">
        <f>SUMIFS(Gastos!$L$2:$L$301,Gastos!$M$2:$M$301,2)</f>
        <v/>
      </c>
      <c r="D6" s="14">
        <f>SUMIFS(Gastos!$L$2:$L$301,Gastos!$M$2:$M$301,3)</f>
        <v/>
      </c>
      <c r="E6" s="14">
        <f>SUMIFS(Gastos!$L$2:$L$301,Gastos!$M$2:$M$301,4)</f>
        <v/>
      </c>
      <c r="F6" s="15">
        <f>SUM(B6:E6)</f>
        <v/>
      </c>
    </row>
    <row r="7">
      <c r="A7" t="inlineStr">
        <is>
          <t>Resultado 303 (positivo = a pagar)</t>
        </is>
      </c>
      <c r="B7" s="14">
        <f>B5-B6</f>
        <v/>
      </c>
      <c r="C7" s="14">
        <f>C5-C6</f>
        <v/>
      </c>
      <c r="D7" s="14">
        <f>D5-D6</f>
        <v/>
      </c>
      <c r="E7" s="14">
        <f>E5-E6</f>
        <v/>
      </c>
      <c r="F7" s="15">
        <f>SUM(B7:E7)</f>
        <v/>
      </c>
    </row>
    <row r="8">
      <c r="A8" t="inlineStr"/>
    </row>
    <row r="9">
      <c r="A9" s="7" t="inlineStr">
        <is>
          <t>MODELO 130 — Pago fraccionado IRPF</t>
        </is>
      </c>
    </row>
    <row r="10">
      <c r="A10" t="inlineStr">
        <is>
          <t>Ingresos del trimestre (base imponible)</t>
        </is>
      </c>
      <c r="B10" s="14">
        <f>SUMIFS(Ingresos!$F$2:$F$301,Ingresos!$L$2:$L$301,1)</f>
        <v/>
      </c>
      <c r="C10" s="14">
        <f>SUMIFS(Ingresos!$F$2:$F$301,Ingresos!$L$2:$L$301,2)</f>
        <v/>
      </c>
      <c r="D10" s="14">
        <f>SUMIFS(Ingresos!$F$2:$F$301,Ingresos!$L$2:$L$301,3)</f>
        <v/>
      </c>
      <c r="E10" s="14">
        <f>SUMIFS(Ingresos!$F$2:$F$301,Ingresos!$L$2:$L$301,4)</f>
        <v/>
      </c>
      <c r="F10" s="15">
        <f>SUM(B10:E10)</f>
        <v/>
      </c>
    </row>
    <row r="11">
      <c r="A11" t="inlineStr">
        <is>
          <t>Gastos deducibles del trimestre</t>
        </is>
      </c>
      <c r="B11" s="14">
        <f>SUMIFS(Gastos!$K$2:$K$301,Gastos!$M$2:$M$301,1)</f>
        <v/>
      </c>
      <c r="C11" s="14">
        <f>SUMIFS(Gastos!$K$2:$K$301,Gastos!$M$2:$M$301,2)</f>
        <v/>
      </c>
      <c r="D11" s="14">
        <f>SUMIFS(Gastos!$K$2:$K$301,Gastos!$M$2:$M$301,3)</f>
        <v/>
      </c>
      <c r="E11" s="14">
        <f>SUMIFS(Gastos!$K$2:$K$301,Gastos!$M$2:$M$301,4)</f>
        <v/>
      </c>
      <c r="F11" s="15">
        <f>SUM(B11:E11)</f>
        <v/>
      </c>
    </row>
    <row r="12">
      <c r="A12" t="inlineStr">
        <is>
          <t>Ingresos acumulados en el año</t>
        </is>
      </c>
      <c r="B12" s="14">
        <f>SUM($B$10:B10)</f>
        <v/>
      </c>
      <c r="C12" s="14">
        <f>SUM($B$10:C10)</f>
        <v/>
      </c>
      <c r="D12" s="14">
        <f>SUM($B$10:D10)</f>
        <v/>
      </c>
      <c r="E12" s="14">
        <f>SUM($B$10:E10)</f>
        <v/>
      </c>
    </row>
    <row r="13">
      <c r="A13" t="inlineStr">
        <is>
          <t>Gastos acumulados en el año</t>
        </is>
      </c>
      <c r="B13" s="14">
        <f>SUM($B$11:B11)</f>
        <v/>
      </c>
      <c r="C13" s="14">
        <f>SUM($B$11:C11)</f>
        <v/>
      </c>
      <c r="D13" s="14">
        <f>SUM($B$11:D11)</f>
        <v/>
      </c>
      <c r="E13" s="14">
        <f>SUM($B$11:E11)</f>
        <v/>
      </c>
    </row>
    <row r="14">
      <c r="A14" t="inlineStr">
        <is>
          <t>Rendimiento neto acumulado</t>
        </is>
      </c>
      <c r="B14" s="14">
        <f>B12-B13</f>
        <v/>
      </c>
      <c r="C14" s="14">
        <f>C12-C13</f>
        <v/>
      </c>
      <c r="D14" s="14">
        <f>D12-D13</f>
        <v/>
      </c>
      <c r="E14" s="14">
        <f>E12-E13</f>
        <v/>
      </c>
    </row>
    <row r="15">
      <c r="A15" t="inlineStr">
        <is>
          <t>Pago fraccionado acumulado (20%)</t>
        </is>
      </c>
      <c r="B15" s="14">
        <f>MAX(0,B14*Config!$B$11)</f>
        <v/>
      </c>
      <c r="C15" s="14">
        <f>MAX(0,C14*Config!$B$11)</f>
        <v/>
      </c>
      <c r="D15" s="14">
        <f>MAX(0,D14*Config!$B$11)</f>
        <v/>
      </c>
      <c r="E15" s="14">
        <f>MAX(0,E14*Config!$B$11)</f>
        <v/>
      </c>
    </row>
    <row r="16">
      <c r="A16" t="inlineStr">
        <is>
          <t>Retenciones IRPF acumuladas (tus clientes ya pagaron)</t>
        </is>
      </c>
      <c r="B16" s="14">
        <f>SUMIFS(Ingresos!$J$2:$J$301,Ingresos!$L$2:$L$301,"&lt;="&amp;1)</f>
        <v/>
      </c>
      <c r="C16" s="14">
        <f>SUMIFS(Ingresos!$J$2:$J$301,Ingresos!$L$2:$L$301,"&lt;="&amp;2)</f>
        <v/>
      </c>
      <c r="D16" s="14">
        <f>SUMIFS(Ingresos!$J$2:$J$301,Ingresos!$L$2:$L$301,"&lt;="&amp;3)</f>
        <v/>
      </c>
      <c r="E16" s="14">
        <f>SUMIFS(Ingresos!$J$2:$J$301,Ingresos!$L$2:$L$301,"&lt;="&amp;4)</f>
        <v/>
      </c>
    </row>
    <row r="17">
      <c r="A17" t="inlineStr">
        <is>
          <t>Pagos 130 de trimestres anteriores</t>
        </is>
      </c>
      <c r="B17" s="14">
        <f>0</f>
        <v/>
      </c>
      <c r="C17" s="14">
        <f>SUM($B$18:B18)</f>
        <v/>
      </c>
      <c r="D17" s="14">
        <f>SUM($B$18:C18)</f>
        <v/>
      </c>
      <c r="E17" s="14">
        <f>SUM($B$18:D18)</f>
        <v/>
      </c>
    </row>
    <row r="18">
      <c r="A18" t="inlineStr">
        <is>
          <t>Resultado 130 (a ingresar)</t>
        </is>
      </c>
      <c r="B18" s="14">
        <f>MAX(0,B15-B16-B17)</f>
        <v/>
      </c>
      <c r="C18" s="14">
        <f>MAX(0,C15-C16-C17)</f>
        <v/>
      </c>
      <c r="D18" s="14">
        <f>MAX(0,D15-D16-D17)</f>
        <v/>
      </c>
      <c r="E18" s="14">
        <f>MAX(0,E15-E16-E17)</f>
        <v/>
      </c>
      <c r="F18" s="15">
        <f>SUM(B18:E18)</f>
        <v/>
      </c>
    </row>
    <row r="19">
      <c r="A19" t="inlineStr"/>
    </row>
    <row r="20">
      <c r="A20" s="4" t="inlineStr">
        <is>
          <t>TOTAL estimado a pagar este trimestre (303 + 130)</t>
        </is>
      </c>
      <c r="B20" s="16">
        <f>MAX(0,B7)+B18</f>
        <v/>
      </c>
      <c r="C20" s="16">
        <f>MAX(0,C7)+C18</f>
        <v/>
      </c>
      <c r="D20" s="16">
        <f>MAX(0,D7)+D18</f>
        <v/>
      </c>
      <c r="E20" s="16">
        <f>MAX(0,E7)+E18</f>
        <v/>
      </c>
      <c r="F20" s="17">
        <f>SUM(B20:E20)</f>
        <v/>
      </c>
    </row>
    <row r="21">
      <c r="A21" s="4" t="inlineStr">
        <is>
          <t>Beneficio neto del trimestre (antes de IRPF anual)</t>
        </is>
      </c>
      <c r="B21" s="18">
        <f>B10-B11</f>
        <v/>
      </c>
      <c r="C21" s="18">
        <f>C10-C11</f>
        <v/>
      </c>
      <c r="D21" s="18">
        <f>D10-D11</f>
        <v/>
      </c>
      <c r="E21" s="18">
        <f>E10-E11</f>
        <v/>
      </c>
      <c r="F21" s="19">
        <f>SUM(B21:E21)</f>
        <v/>
      </c>
    </row>
    <row r="23" ht="30" customHeight="1">
      <c r="A23" s="3" t="inlineStr">
        <is>
          <t>Consejo: aparta cada mes el IVA cobrado y un 20% del beneficio en una cuenta separada. Si el 303 sale negativo puedes compensarlo en trimestres siguientes (o pedir devolución en el T4).</t>
        </is>
      </c>
    </row>
    <row r="24"/>
  </sheetData>
  <mergeCells count="1">
    <mergeCell ref="A23:F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14" customWidth="1" min="1" max="1"/>
    <col width="18" customWidth="1" min="2" max="2"/>
    <col width="18" customWidth="1" min="3" max="3"/>
    <col width="18" customWidth="1" min="4" max="4"/>
    <col width="20" customWidth="1" min="5" max="5"/>
  </cols>
  <sheetData>
    <row r="1">
      <c r="A1" s="1" t="inlineStr">
        <is>
          <t>Resumen mensual</t>
        </is>
      </c>
    </row>
    <row r="3">
      <c r="A3" s="20" t="inlineStr">
        <is>
          <t>Mes</t>
        </is>
      </c>
      <c r="B3" s="20" t="inlineStr">
        <is>
          <t>Ingresos (base)</t>
        </is>
      </c>
      <c r="C3" s="20" t="inlineStr">
        <is>
          <t>Gastos deducibles</t>
        </is>
      </c>
      <c r="D3" s="20" t="inlineStr">
        <is>
          <t>Beneficio</t>
        </is>
      </c>
      <c r="E3" s="20" t="inlineStr">
        <is>
          <t>Pendiente de cobro</t>
        </is>
      </c>
    </row>
    <row r="4">
      <c r="A4" t="inlineStr">
        <is>
          <t>Enero</t>
        </is>
      </c>
      <c r="B4" s="21">
        <f>SUMIFS(Ingresos!$F$2:$F$301,Ingresos!$M$2:$M$301,1)</f>
        <v/>
      </c>
      <c r="C4" s="21">
        <f>SUMIFS(Gastos!$K$2:$K$301,Gastos!$N$2:$N$301,1)</f>
        <v/>
      </c>
      <c r="D4" s="21">
        <f>B4-C4</f>
        <v/>
      </c>
      <c r="E4" s="21">
        <f>SUMIFS(Ingresos!$K$2:$K$301,Ingresos!$M$2:$M$301,1,Ingresos!$N$2:$N$301,"No")</f>
        <v/>
      </c>
    </row>
    <row r="5">
      <c r="A5" t="inlineStr">
        <is>
          <t>Febrero</t>
        </is>
      </c>
      <c r="B5" s="21">
        <f>SUMIFS(Ingresos!$F$2:$F$301,Ingresos!$M$2:$M$301,2)</f>
        <v/>
      </c>
      <c r="C5" s="21">
        <f>SUMIFS(Gastos!$K$2:$K$301,Gastos!$N$2:$N$301,2)</f>
        <v/>
      </c>
      <c r="D5" s="21">
        <f>B5-C5</f>
        <v/>
      </c>
      <c r="E5" s="21">
        <f>SUMIFS(Ingresos!$K$2:$K$301,Ingresos!$M$2:$M$301,2,Ingresos!$N$2:$N$301,"No")</f>
        <v/>
      </c>
    </row>
    <row r="6">
      <c r="A6" t="inlineStr">
        <is>
          <t>Marzo</t>
        </is>
      </c>
      <c r="B6" s="21">
        <f>SUMIFS(Ingresos!$F$2:$F$301,Ingresos!$M$2:$M$301,3)</f>
        <v/>
      </c>
      <c r="C6" s="21">
        <f>SUMIFS(Gastos!$K$2:$K$301,Gastos!$N$2:$N$301,3)</f>
        <v/>
      </c>
      <c r="D6" s="21">
        <f>B6-C6</f>
        <v/>
      </c>
      <c r="E6" s="21">
        <f>SUMIFS(Ingresos!$K$2:$K$301,Ingresos!$M$2:$M$301,3,Ingresos!$N$2:$N$301,"No")</f>
        <v/>
      </c>
    </row>
    <row r="7">
      <c r="A7" t="inlineStr">
        <is>
          <t>Abril</t>
        </is>
      </c>
      <c r="B7" s="21">
        <f>SUMIFS(Ingresos!$F$2:$F$301,Ingresos!$M$2:$M$301,4)</f>
        <v/>
      </c>
      <c r="C7" s="21">
        <f>SUMIFS(Gastos!$K$2:$K$301,Gastos!$N$2:$N$301,4)</f>
        <v/>
      </c>
      <c r="D7" s="21">
        <f>B7-C7</f>
        <v/>
      </c>
      <c r="E7" s="21">
        <f>SUMIFS(Ingresos!$K$2:$K$301,Ingresos!$M$2:$M$301,4,Ingresos!$N$2:$N$301,"No")</f>
        <v/>
      </c>
    </row>
    <row r="8">
      <c r="A8" t="inlineStr">
        <is>
          <t>Mayo</t>
        </is>
      </c>
      <c r="B8" s="21">
        <f>SUMIFS(Ingresos!$F$2:$F$301,Ingresos!$M$2:$M$301,5)</f>
        <v/>
      </c>
      <c r="C8" s="21">
        <f>SUMIFS(Gastos!$K$2:$K$301,Gastos!$N$2:$N$301,5)</f>
        <v/>
      </c>
      <c r="D8" s="21">
        <f>B8-C8</f>
        <v/>
      </c>
      <c r="E8" s="21">
        <f>SUMIFS(Ingresos!$K$2:$K$301,Ingresos!$M$2:$M$301,5,Ingresos!$N$2:$N$301,"No")</f>
        <v/>
      </c>
    </row>
    <row r="9">
      <c r="A9" t="inlineStr">
        <is>
          <t>Junio</t>
        </is>
      </c>
      <c r="B9" s="21">
        <f>SUMIFS(Ingresos!$F$2:$F$301,Ingresos!$M$2:$M$301,6)</f>
        <v/>
      </c>
      <c r="C9" s="21">
        <f>SUMIFS(Gastos!$K$2:$K$301,Gastos!$N$2:$N$301,6)</f>
        <v/>
      </c>
      <c r="D9" s="21">
        <f>B9-C9</f>
        <v/>
      </c>
      <c r="E9" s="21">
        <f>SUMIFS(Ingresos!$K$2:$K$301,Ingresos!$M$2:$M$301,6,Ingresos!$N$2:$N$301,"No")</f>
        <v/>
      </c>
    </row>
    <row r="10">
      <c r="A10" t="inlineStr">
        <is>
          <t>Julio</t>
        </is>
      </c>
      <c r="B10" s="21">
        <f>SUMIFS(Ingresos!$F$2:$F$301,Ingresos!$M$2:$M$301,7)</f>
        <v/>
      </c>
      <c r="C10" s="21">
        <f>SUMIFS(Gastos!$K$2:$K$301,Gastos!$N$2:$N$301,7)</f>
        <v/>
      </c>
      <c r="D10" s="21">
        <f>B10-C10</f>
        <v/>
      </c>
      <c r="E10" s="21">
        <f>SUMIFS(Ingresos!$K$2:$K$301,Ingresos!$M$2:$M$301,7,Ingresos!$N$2:$N$301,"No")</f>
        <v/>
      </c>
    </row>
    <row r="11">
      <c r="A11" t="inlineStr">
        <is>
          <t>Agosto</t>
        </is>
      </c>
      <c r="B11" s="21">
        <f>SUMIFS(Ingresos!$F$2:$F$301,Ingresos!$M$2:$M$301,8)</f>
        <v/>
      </c>
      <c r="C11" s="21">
        <f>SUMIFS(Gastos!$K$2:$K$301,Gastos!$N$2:$N$301,8)</f>
        <v/>
      </c>
      <c r="D11" s="21">
        <f>B11-C11</f>
        <v/>
      </c>
      <c r="E11" s="21">
        <f>SUMIFS(Ingresos!$K$2:$K$301,Ingresos!$M$2:$M$301,8,Ingresos!$N$2:$N$301,"No")</f>
        <v/>
      </c>
    </row>
    <row r="12">
      <c r="A12" t="inlineStr">
        <is>
          <t>Septiembre</t>
        </is>
      </c>
      <c r="B12" s="21">
        <f>SUMIFS(Ingresos!$F$2:$F$301,Ingresos!$M$2:$M$301,9)</f>
        <v/>
      </c>
      <c r="C12" s="21">
        <f>SUMIFS(Gastos!$K$2:$K$301,Gastos!$N$2:$N$301,9)</f>
        <v/>
      </c>
      <c r="D12" s="21">
        <f>B12-C12</f>
        <v/>
      </c>
      <c r="E12" s="21">
        <f>SUMIFS(Ingresos!$K$2:$K$301,Ingresos!$M$2:$M$301,9,Ingresos!$N$2:$N$301,"No")</f>
        <v/>
      </c>
    </row>
    <row r="13">
      <c r="A13" t="inlineStr">
        <is>
          <t>Octubre</t>
        </is>
      </c>
      <c r="B13" s="21">
        <f>SUMIFS(Ingresos!$F$2:$F$301,Ingresos!$M$2:$M$301,10)</f>
        <v/>
      </c>
      <c r="C13" s="21">
        <f>SUMIFS(Gastos!$K$2:$K$301,Gastos!$N$2:$N$301,10)</f>
        <v/>
      </c>
      <c r="D13" s="21">
        <f>B13-C13</f>
        <v/>
      </c>
      <c r="E13" s="21">
        <f>SUMIFS(Ingresos!$K$2:$K$301,Ingresos!$M$2:$M$301,10,Ingresos!$N$2:$N$301,"No")</f>
        <v/>
      </c>
    </row>
    <row r="14">
      <c r="A14" t="inlineStr">
        <is>
          <t>Noviembre</t>
        </is>
      </c>
      <c r="B14" s="21">
        <f>SUMIFS(Ingresos!$F$2:$F$301,Ingresos!$M$2:$M$301,11)</f>
        <v/>
      </c>
      <c r="C14" s="21">
        <f>SUMIFS(Gastos!$K$2:$K$301,Gastos!$N$2:$N$301,11)</f>
        <v/>
      </c>
      <c r="D14" s="21">
        <f>B14-C14</f>
        <v/>
      </c>
      <c r="E14" s="21">
        <f>SUMIFS(Ingresos!$K$2:$K$301,Ingresos!$M$2:$M$301,11,Ingresos!$N$2:$N$301,"No")</f>
        <v/>
      </c>
    </row>
    <row r="15">
      <c r="A15" t="inlineStr">
        <is>
          <t>Diciembre</t>
        </is>
      </c>
      <c r="B15" s="21">
        <f>SUMIFS(Ingresos!$F$2:$F$301,Ingresos!$M$2:$M$301,12)</f>
        <v/>
      </c>
      <c r="C15" s="21">
        <f>SUMIFS(Gastos!$K$2:$K$301,Gastos!$N$2:$N$301,12)</f>
        <v/>
      </c>
      <c r="D15" s="21">
        <f>B15-C15</f>
        <v/>
      </c>
      <c r="E15" s="21">
        <f>SUMIFS(Ingresos!$K$2:$K$301,Ingresos!$M$2:$M$301,12,Ingresos!$N$2:$N$301,"No")</f>
        <v/>
      </c>
    </row>
    <row r="16">
      <c r="A16" s="4" t="inlineStr">
        <is>
          <t>TOTAL</t>
        </is>
      </c>
      <c r="B16" s="15">
        <f>SUM(B4:B15)</f>
        <v/>
      </c>
      <c r="C16" s="15">
        <f>SUM(C4:C15)</f>
        <v/>
      </c>
      <c r="D16" s="15">
        <f>SUM(D4:D15)</f>
        <v/>
      </c>
      <c r="E16" s="15">
        <f>SUM(E4:E15)</f>
        <v/>
      </c>
    </row>
    <row r="18">
      <c r="A18" s="4" t="inlineStr">
        <is>
          <t>Margen de beneficio</t>
        </is>
      </c>
      <c r="B18" s="22">
        <f>IF(B16=0,0,D16/B16)</f>
        <v/>
      </c>
    </row>
    <row r="19">
      <c r="A19" s="4" t="inlineStr">
        <is>
          <t>Impuestos trimestrales estimados</t>
        </is>
      </c>
      <c r="B19" s="21">
        <f>Trimestres!F20</f>
        <v/>
      </c>
    </row>
    <row r="20">
      <c r="A20" s="4" t="inlineStr">
        <is>
          <t>Nº de facturas emitidas</t>
        </is>
      </c>
      <c r="B20">
        <f>COUNTA(Ingresos!$B$2:$B$301)</f>
        <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B2:E23"/>
  <sheetViews>
    <sheetView showGridLines="0" workbookViewId="0">
      <selection activeCell="A1" sqref="A1"/>
    </sheetView>
  </sheetViews>
  <sheetFormatPr baseColWidth="8" defaultRowHeight="15"/>
  <cols>
    <col width="3" customWidth="1" min="1" max="1"/>
    <col width="30" customWidth="1" min="2" max="2"/>
    <col width="30" customWidth="1" min="3" max="3"/>
    <col width="18" customWidth="1" min="4" max="4"/>
    <col width="18" customWidth="1" min="5" max="5"/>
  </cols>
  <sheetData>
    <row r="2">
      <c r="B2" s="23" t="inlineStr">
        <is>
          <t>FACTURA</t>
        </is>
      </c>
      <c r="D2" s="24" t="inlineStr">
        <is>
          <t>Nº factura →</t>
        </is>
      </c>
      <c r="E2" s="25" t="inlineStr">
        <is>
          <t>2027-001</t>
        </is>
      </c>
    </row>
    <row r="4">
      <c r="B4" s="4">
        <f>Config!B3</f>
        <v/>
      </c>
      <c r="D4" t="inlineStr">
        <is>
          <t>Fecha:</t>
        </is>
      </c>
      <c r="E4" s="26">
        <f>IFERROR(INDEX(Ingresos!$A$2:$A$301,MATCH($E$2,Ingresos!$B$2:$B$301,0)),"")</f>
        <v/>
      </c>
    </row>
    <row r="5">
      <c r="B5">
        <f>"NIF: "&amp;Config!B4</f>
        <v/>
      </c>
    </row>
    <row r="6">
      <c r="B6">
        <f>Config!B5</f>
        <v/>
      </c>
    </row>
    <row r="7">
      <c r="B7">
        <f>Config!B6</f>
        <v/>
      </c>
    </row>
    <row r="9">
      <c r="B9" s="27" t="inlineStr">
        <is>
          <t>FACTURAR A:</t>
        </is>
      </c>
    </row>
    <row r="10">
      <c r="B10">
        <f>IFERROR(INDEX(Ingresos!$C$2:$C$301,MATCH($E$2,Ingresos!$B$2:$B$301,0)),"")</f>
        <v/>
      </c>
    </row>
    <row r="11">
      <c r="B11">
        <f>IFERROR("NIF: "&amp;INDEX(Ingresos!$D$2:$D$301,MATCH($E$2,Ingresos!$B$2:$B$301,0)),"")</f>
        <v/>
      </c>
    </row>
    <row r="13">
      <c r="B13" s="20" t="inlineStr">
        <is>
          <t>Concepto</t>
        </is>
      </c>
      <c r="C13" s="20" t="inlineStr"/>
      <c r="D13" s="20" t="inlineStr"/>
      <c r="E13" s="20" t="inlineStr">
        <is>
          <t>Importe</t>
        </is>
      </c>
    </row>
    <row r="14">
      <c r="B14" s="28">
        <f>IFERROR(INDEX(Ingresos!$E$2:$E$301,MATCH($E$2,Ingresos!$B$2:$B$301,0)),"")</f>
        <v/>
      </c>
      <c r="C14" s="28" t="n"/>
      <c r="D14" s="28" t="n"/>
      <c r="E14" s="14">
        <f>IFERROR(INDEX(Ingresos!$F$2:$F$301,MATCH($E$2,Ingresos!$B$2:$B$301,0)),"")</f>
        <v/>
      </c>
    </row>
    <row r="16">
      <c r="D16" t="inlineStr">
        <is>
          <t>Base imponible</t>
        </is>
      </c>
      <c r="E16" s="21">
        <f>IFERROR(INDEX(Ingresos!$F$2:$F$301,MATCH($E$2,Ingresos!$B$2:$B$301,0)),"")</f>
        <v/>
      </c>
    </row>
    <row r="17">
      <c r="D17">
        <f>IFERROR("IVA ("&amp;TEXT(INDEX(Ingresos!$G$2:$G$301,MATCH($E$2,Ingresos!$B$2:$B$301,0)),"0%")&amp;")","IVA")</f>
        <v/>
      </c>
      <c r="E17" s="21">
        <f>IFERROR(INDEX(Ingresos!$H$2:$H$301,MATCH($E$2,Ingresos!$B$2:$B$301,0)),"")</f>
        <v/>
      </c>
    </row>
    <row r="18">
      <c r="D18">
        <f>IFERROR("Retención IRPF (-"&amp;TEXT(INDEX(Ingresos!$I$2:$I$301,MATCH($E$2,Ingresos!$B$2:$B$301,0)),"0%")&amp;")","IRPF")</f>
        <v/>
      </c>
      <c r="E18" s="21">
        <f>IFERROR(-INDEX(Ingresos!$J$2:$J$301,MATCH($E$2,Ingresos!$B$2:$B$301,0)),"")</f>
        <v/>
      </c>
    </row>
    <row r="19">
      <c r="D19" s="29" t="inlineStr">
        <is>
          <t>TOTAL</t>
        </is>
      </c>
      <c r="E19" s="30">
        <f>IFERROR(INDEX(Ingresos!$K$2:$K$301,MATCH($E$2,Ingresos!$B$2:$B$301,0)),"")</f>
        <v/>
      </c>
    </row>
    <row r="22">
      <c r="B22">
        <f>"Forma de pago: transferencia a "&amp;Config!B7</f>
        <v/>
      </c>
    </row>
    <row r="23">
      <c r="B23" s="31" t="inlineStr">
        <is>
          <t>Gracias por tu confianza.</t>
        </is>
      </c>
    </row>
  </sheetData>
  <mergeCells count="1">
    <mergeCell ref="B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2026-10-10T11:15:43Z</dcterms:created>
  <dcterms:modified xmlns:dcterms="http://purl.org/dc/terms/" xmlns:xsi="http://www.w3.org/2001/XMLSchema-instance" xsi:type="dcterms:W3CDTF">2026-10-10T11:15:44Z</dcterms:modified>
</cp:coreProperties>
</file>